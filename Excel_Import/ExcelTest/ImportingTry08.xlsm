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DATA\Desktop\Excel_Import\"/>
    </mc:Choice>
  </mc:AlternateContent>
  <bookViews>
    <workbookView xWindow="-105" yWindow="-105" windowWidth="23145" windowHeight="9345" tabRatio="601" firstSheet="1" activeTab="2"/>
  </bookViews>
  <sheets>
    <sheet name="Farin Değirmenleri (Saatlik)" sheetId="4" r:id="rId1"/>
    <sheet name="Farin Değirmenleri (Günlük)" sheetId="22" r:id="rId2"/>
    <sheet name="Firin Girisi (Saatlik)" sheetId="16" r:id="rId3"/>
    <sheet name="Fırın Girişi (Günlük)" sheetId="25" r:id="rId4"/>
    <sheet name="Klinker (Saatlik)" sheetId="6" r:id="rId5"/>
    <sheet name="Klinker (Günlük)" sheetId="26" r:id="rId6"/>
    <sheet name="Sayfa2" sheetId="20" state="hidden" r:id="rId7"/>
    <sheet name="Sayfa3" sheetId="21" state="hidden" r:id="rId8"/>
  </sheets>
  <definedNames>
    <definedName name="_xlnm._FilterDatabase" localSheetId="1" hidden="1">'Farin Değirmenleri (Günlük)'!$B$10:$AF$10</definedName>
    <definedName name="_xlnm._FilterDatabase" localSheetId="0" hidden="1">'Farin Değirmenleri (Saatlik)'!$B$10:$AF$10</definedName>
    <definedName name="_xlnm._FilterDatabase" localSheetId="3" hidden="1">'Fırın Girişi (Günlük)'!$B$9:$AA$9</definedName>
    <definedName name="_xlnm._FilterDatabase" localSheetId="2" hidden="1">'Firin Girisi (Saatlik)'!$C$9:$AC$9</definedName>
    <definedName name="_xlnm._FilterDatabase" localSheetId="5" hidden="1">'Klinker (Günlük)'!$B$9:$AC$9</definedName>
    <definedName name="_xlnm._FilterDatabase" localSheetId="4" hidden="1">'Klinker (Saatlik)'!$B$9:$AD$9</definedName>
    <definedName name="_xlnm.Print_Area" localSheetId="1">'Farin Değirmenleri (Günlük)'!$B$4:$BC$34</definedName>
    <definedName name="_xlnm.Print_Area" localSheetId="0">'Farin Değirmenleri (Saatlik)'!$B$4:$BC$34</definedName>
    <definedName name="_xlnm.Print_Area" localSheetId="5">'Klinker (Günlük)'!$B$1:$BS$3722</definedName>
    <definedName name="_xlnm.Print_Area" localSheetId="4">'Klinker (Saatlik)'!$B$1:$BT$3722</definedName>
  </definedNames>
  <calcPr calcId="162913"/>
</workbook>
</file>

<file path=xl/calcChain.xml><?xml version="1.0" encoding="utf-8"?>
<calcChain xmlns="http://schemas.openxmlformats.org/spreadsheetml/2006/main">
  <c r="AJ33" i="26" l="1"/>
  <c r="AH33" i="26"/>
  <c r="AG33" i="26"/>
  <c r="AF33" i="26"/>
  <c r="AD33" i="26"/>
  <c r="AC33" i="26"/>
  <c r="AB33" i="26"/>
  <c r="AA33" i="26"/>
  <c r="Z33" i="26"/>
  <c r="Y33" i="26"/>
  <c r="X33" i="26"/>
  <c r="W33" i="26"/>
  <c r="V33" i="26"/>
  <c r="AJ32" i="26"/>
  <c r="AH32" i="26"/>
  <c r="AG32" i="26"/>
  <c r="AF32" i="26"/>
  <c r="AD32" i="26"/>
  <c r="AC32" i="26"/>
  <c r="AB32" i="26"/>
  <c r="AA32" i="26"/>
  <c r="Z32" i="26"/>
  <c r="Y32" i="26"/>
  <c r="X32" i="26"/>
  <c r="W32" i="26"/>
  <c r="V32" i="26"/>
  <c r="AJ31" i="26"/>
  <c r="AH31" i="26"/>
  <c r="AG31" i="26"/>
  <c r="AF31" i="26"/>
  <c r="AD31" i="26"/>
  <c r="AC31" i="26"/>
  <c r="AB31" i="26"/>
  <c r="AA31" i="26"/>
  <c r="Z31" i="26"/>
  <c r="Y31" i="26"/>
  <c r="X31" i="26"/>
  <c r="W31" i="26"/>
  <c r="V31" i="26"/>
  <c r="AJ30" i="26"/>
  <c r="AH30" i="26"/>
  <c r="AG30" i="26"/>
  <c r="AF30" i="26"/>
  <c r="AD30" i="26"/>
  <c r="AC30" i="26"/>
  <c r="AB30" i="26"/>
  <c r="AA30" i="26"/>
  <c r="Z30" i="26"/>
  <c r="Y30" i="26"/>
  <c r="X30" i="26"/>
  <c r="W30" i="26"/>
  <c r="V30" i="26"/>
  <c r="AJ29" i="26"/>
  <c r="AH29" i="26"/>
  <c r="AG29" i="26"/>
  <c r="AF29" i="26"/>
  <c r="AD29" i="26"/>
  <c r="AC29" i="26"/>
  <c r="AB29" i="26"/>
  <c r="AA29" i="26"/>
  <c r="Z29" i="26"/>
  <c r="Y29" i="26"/>
  <c r="X29" i="26"/>
  <c r="W29" i="26"/>
  <c r="V29" i="26"/>
  <c r="AJ28" i="26"/>
  <c r="AH28" i="26"/>
  <c r="AG28" i="26"/>
  <c r="AF28" i="26"/>
  <c r="AD28" i="26"/>
  <c r="AC28" i="26"/>
  <c r="AB28" i="26"/>
  <c r="AA28" i="26"/>
  <c r="Z28" i="26"/>
  <c r="Y28" i="26"/>
  <c r="X28" i="26"/>
  <c r="W28" i="26"/>
  <c r="V28" i="26"/>
  <c r="AJ27" i="26"/>
  <c r="AH27" i="26"/>
  <c r="AG27" i="26"/>
  <c r="AF27" i="26"/>
  <c r="AD27" i="26"/>
  <c r="AC27" i="26"/>
  <c r="AB27" i="26"/>
  <c r="AA27" i="26"/>
  <c r="Z27" i="26"/>
  <c r="Y27" i="26"/>
  <c r="X27" i="26"/>
  <c r="W27" i="26"/>
  <c r="V27" i="26"/>
  <c r="AJ26" i="26"/>
  <c r="AH26" i="26"/>
  <c r="AG26" i="26"/>
  <c r="AF26" i="26"/>
  <c r="AD26" i="26"/>
  <c r="AC26" i="26"/>
  <c r="AB26" i="26"/>
  <c r="AA26" i="26"/>
  <c r="Z26" i="26"/>
  <c r="Y26" i="26"/>
  <c r="X26" i="26"/>
  <c r="W26" i="26"/>
  <c r="V26" i="26"/>
  <c r="AJ25" i="26"/>
  <c r="AH25" i="26"/>
  <c r="AG25" i="26"/>
  <c r="AF25" i="26"/>
  <c r="AD25" i="26"/>
  <c r="AC25" i="26"/>
  <c r="AB25" i="26"/>
  <c r="AA25" i="26"/>
  <c r="Z25" i="26"/>
  <c r="Y25" i="26"/>
  <c r="X25" i="26"/>
  <c r="W25" i="26"/>
  <c r="V25" i="26"/>
  <c r="AJ24" i="26"/>
  <c r="AH24" i="26"/>
  <c r="AG24" i="26"/>
  <c r="AF24" i="26"/>
  <c r="AD24" i="26"/>
  <c r="AC24" i="26"/>
  <c r="AB24" i="26"/>
  <c r="AA24" i="26"/>
  <c r="Z24" i="26"/>
  <c r="Y24" i="26"/>
  <c r="X24" i="26"/>
  <c r="W24" i="26"/>
  <c r="V24" i="26"/>
  <c r="AJ23" i="26"/>
  <c r="AH23" i="26"/>
  <c r="AG23" i="26"/>
  <c r="AF23" i="26"/>
  <c r="AD23" i="26"/>
  <c r="AC23" i="26"/>
  <c r="AB23" i="26"/>
  <c r="AA23" i="26"/>
  <c r="Z23" i="26"/>
  <c r="Y23" i="26"/>
  <c r="X23" i="26"/>
  <c r="W23" i="26"/>
  <c r="V23" i="26"/>
  <c r="AJ22" i="26"/>
  <c r="AH22" i="26"/>
  <c r="AG22" i="26"/>
  <c r="AF22" i="26"/>
  <c r="AD22" i="26"/>
  <c r="AC22" i="26"/>
  <c r="AB22" i="26"/>
  <c r="AA22" i="26"/>
  <c r="Z22" i="26"/>
  <c r="Y22" i="26"/>
  <c r="X22" i="26"/>
  <c r="W22" i="26"/>
  <c r="V22" i="26"/>
  <c r="AH21" i="26"/>
  <c r="AG21" i="26"/>
  <c r="AJ20" i="26"/>
  <c r="AH20" i="26"/>
  <c r="AG20" i="26"/>
  <c r="AF20" i="26"/>
  <c r="AD20" i="26"/>
  <c r="AC20" i="26"/>
  <c r="AB20" i="26"/>
  <c r="AA20" i="26"/>
  <c r="Z20" i="26"/>
  <c r="Y20" i="26"/>
  <c r="X20" i="26"/>
  <c r="W20" i="26"/>
  <c r="V20" i="26"/>
  <c r="AJ19" i="26"/>
  <c r="AH19" i="26"/>
  <c r="AG19" i="26"/>
  <c r="AF19" i="26"/>
  <c r="AD19" i="26"/>
  <c r="AC19" i="26"/>
  <c r="AB19" i="26"/>
  <c r="AA19" i="26"/>
  <c r="Z19" i="26"/>
  <c r="Y19" i="26"/>
  <c r="X19" i="26"/>
  <c r="W19" i="26"/>
  <c r="V19" i="26"/>
  <c r="AJ18" i="26"/>
  <c r="AH18" i="26"/>
  <c r="AG18" i="26"/>
  <c r="AF18" i="26"/>
  <c r="AD18" i="26"/>
  <c r="AC18" i="26"/>
  <c r="AB18" i="26"/>
  <c r="AA18" i="26"/>
  <c r="Z18" i="26"/>
  <c r="Y18" i="26"/>
  <c r="X18" i="26"/>
  <c r="W18" i="26"/>
  <c r="V18" i="26"/>
  <c r="AJ17" i="26"/>
  <c r="AH17" i="26"/>
  <c r="AG17" i="26"/>
  <c r="AF17" i="26"/>
  <c r="AD17" i="26"/>
  <c r="AC17" i="26"/>
  <c r="AB17" i="26"/>
  <c r="AA17" i="26"/>
  <c r="Z17" i="26"/>
  <c r="Y17" i="26"/>
  <c r="X17" i="26"/>
  <c r="W17" i="26"/>
  <c r="V17" i="26"/>
  <c r="AJ16" i="26"/>
  <c r="AH16" i="26"/>
  <c r="AG16" i="26"/>
  <c r="AF16" i="26"/>
  <c r="AD16" i="26"/>
  <c r="AC16" i="26"/>
  <c r="AB16" i="26"/>
  <c r="AA16" i="26"/>
  <c r="Z16" i="26"/>
  <c r="Y16" i="26"/>
  <c r="X16" i="26"/>
  <c r="W16" i="26"/>
  <c r="V16" i="26"/>
  <c r="AJ15" i="26"/>
  <c r="AH15" i="26"/>
  <c r="AG15" i="26"/>
  <c r="AF15" i="26"/>
  <c r="AD15" i="26"/>
  <c r="AC15" i="26"/>
  <c r="AB15" i="26"/>
  <c r="AA15" i="26"/>
  <c r="Z15" i="26"/>
  <c r="Y15" i="26"/>
  <c r="X15" i="26"/>
  <c r="W15" i="26"/>
  <c r="V15" i="26"/>
  <c r="AJ14" i="26"/>
  <c r="AH14" i="26"/>
  <c r="AG14" i="26"/>
  <c r="AF14" i="26"/>
  <c r="AD14" i="26"/>
  <c r="AC14" i="26"/>
  <c r="AB14" i="26"/>
  <c r="AA14" i="26"/>
  <c r="Z14" i="26"/>
  <c r="Y14" i="26"/>
  <c r="X14" i="26"/>
  <c r="W14" i="26"/>
  <c r="V14" i="26"/>
  <c r="AJ13" i="26"/>
  <c r="AH13" i="26"/>
  <c r="AG13" i="26"/>
  <c r="AF13" i="26"/>
  <c r="AD13" i="26"/>
  <c r="AC13" i="26"/>
  <c r="AB13" i="26"/>
  <c r="AA13" i="26"/>
  <c r="Z13" i="26"/>
  <c r="Y13" i="26"/>
  <c r="X13" i="26"/>
  <c r="W13" i="26"/>
  <c r="V13" i="26"/>
  <c r="AJ12" i="26"/>
  <c r="AH12" i="26"/>
  <c r="AG12" i="26"/>
  <c r="AF12" i="26"/>
  <c r="AD12" i="26"/>
  <c r="AC12" i="26"/>
  <c r="AB12" i="26"/>
  <c r="AA12" i="26"/>
  <c r="Z12" i="26"/>
  <c r="Y12" i="26"/>
  <c r="X12" i="26"/>
  <c r="W12" i="26"/>
  <c r="V12" i="26"/>
  <c r="AJ11" i="26"/>
  <c r="AH11" i="26"/>
  <c r="AG11" i="26"/>
  <c r="AF11" i="26"/>
  <c r="AD11" i="26"/>
  <c r="AC11" i="26"/>
  <c r="AB11" i="26"/>
  <c r="AA11" i="26"/>
  <c r="Z11" i="26"/>
  <c r="Y11" i="26"/>
  <c r="X11" i="26"/>
  <c r="W11" i="26"/>
  <c r="V11" i="26"/>
  <c r="AJ10" i="26"/>
  <c r="AH10" i="26"/>
  <c r="AG10" i="26"/>
  <c r="AF10" i="26"/>
  <c r="AD10" i="26"/>
  <c r="AC10" i="26"/>
  <c r="AB10" i="26"/>
  <c r="AA10" i="26"/>
  <c r="Z10" i="26"/>
  <c r="Y10" i="26"/>
  <c r="X10" i="26"/>
  <c r="W10" i="26"/>
  <c r="V10" i="26"/>
  <c r="BR6" i="26"/>
  <c r="BQ6" i="26"/>
  <c r="BP6" i="26"/>
  <c r="BO6" i="26"/>
  <c r="BN6" i="26"/>
  <c r="BM6" i="26"/>
  <c r="BL6" i="26"/>
  <c r="BK6" i="26"/>
  <c r="BJ6" i="26"/>
  <c r="BI6" i="26"/>
  <c r="BH6" i="26"/>
  <c r="BG6" i="26"/>
  <c r="BF6" i="26"/>
  <c r="BE6" i="26"/>
  <c r="BD6" i="26"/>
  <c r="BC6" i="26"/>
  <c r="AS6" i="26"/>
  <c r="AR6" i="26"/>
  <c r="AQ6" i="26"/>
  <c r="AP6" i="26"/>
  <c r="AO6" i="26"/>
  <c r="AN6" i="26"/>
  <c r="AM6" i="26"/>
  <c r="AK6" i="26"/>
  <c r="AJ6" i="26"/>
  <c r="AI6" i="26"/>
  <c r="AH6" i="26"/>
  <c r="AG6" i="26"/>
  <c r="AF6" i="26"/>
  <c r="AE6" i="26"/>
  <c r="AD6" i="26"/>
  <c r="AC6" i="26"/>
  <c r="AB6" i="26"/>
  <c r="AA6" i="26"/>
  <c r="Z6" i="26"/>
  <c r="Y6" i="26"/>
  <c r="X6" i="26"/>
  <c r="W6" i="26"/>
  <c r="V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D6" i="26"/>
  <c r="C6" i="26"/>
  <c r="BR5" i="26"/>
  <c r="BQ5" i="26"/>
  <c r="BP5" i="26"/>
  <c r="BO5" i="26"/>
  <c r="BN5" i="26"/>
  <c r="BM5" i="26"/>
  <c r="BL5" i="26"/>
  <c r="BK5" i="26"/>
  <c r="BJ5" i="26"/>
  <c r="BI5" i="26"/>
  <c r="BH5" i="26"/>
  <c r="BG5" i="26"/>
  <c r="BF5" i="26"/>
  <c r="BE5" i="26"/>
  <c r="BD5" i="26"/>
  <c r="BC5" i="26"/>
  <c r="AS5" i="26"/>
  <c r="AR5" i="26"/>
  <c r="AQ5" i="26"/>
  <c r="AP5" i="26"/>
  <c r="AO5" i="26"/>
  <c r="AN5" i="26"/>
  <c r="AM5" i="26"/>
  <c r="AK5" i="26"/>
  <c r="AJ5" i="26"/>
  <c r="AI5" i="26"/>
  <c r="AH5" i="26"/>
  <c r="AG5" i="26"/>
  <c r="AF5" i="26"/>
  <c r="AE5" i="26"/>
  <c r="AD5" i="26"/>
  <c r="AC5" i="26"/>
  <c r="AB5" i="26"/>
  <c r="AA5" i="26"/>
  <c r="Z5" i="26"/>
  <c r="Y5" i="26"/>
  <c r="X5" i="26"/>
  <c r="W5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E5" i="26"/>
  <c r="D5" i="26"/>
  <c r="C5" i="26"/>
  <c r="BR4" i="26"/>
  <c r="BQ4" i="26"/>
  <c r="BP4" i="26"/>
  <c r="BO4" i="26"/>
  <c r="BN4" i="26"/>
  <c r="BM4" i="26"/>
  <c r="BL4" i="26"/>
  <c r="BK4" i="26"/>
  <c r="BJ4" i="26"/>
  <c r="BI4" i="26"/>
  <c r="BH4" i="26"/>
  <c r="BG4" i="26"/>
  <c r="BF4" i="26"/>
  <c r="BE4" i="26"/>
  <c r="BD4" i="26"/>
  <c r="BC4" i="26"/>
  <c r="AS4" i="26"/>
  <c r="AR4" i="26"/>
  <c r="AQ4" i="26"/>
  <c r="AP4" i="26"/>
  <c r="AO4" i="26"/>
  <c r="AN4" i="26"/>
  <c r="AM4" i="26"/>
  <c r="AK4" i="26"/>
  <c r="AJ4" i="26"/>
  <c r="AI4" i="26"/>
  <c r="AH4" i="26"/>
  <c r="AG4" i="26"/>
  <c r="AF4" i="26"/>
  <c r="AE4" i="26"/>
  <c r="AD4" i="26"/>
  <c r="AC4" i="26"/>
  <c r="AB4" i="26"/>
  <c r="AA4" i="26"/>
  <c r="Z4" i="26"/>
  <c r="Y4" i="26"/>
  <c r="X4" i="26"/>
  <c r="W4" i="26"/>
  <c r="V4" i="26"/>
  <c r="U4" i="26"/>
  <c r="T4" i="26"/>
  <c r="S4" i="26"/>
  <c r="R4" i="26"/>
  <c r="Q4" i="26"/>
  <c r="P4" i="26"/>
  <c r="O4" i="26"/>
  <c r="N4" i="26"/>
  <c r="M4" i="26"/>
  <c r="L4" i="26"/>
  <c r="K4" i="26"/>
  <c r="J4" i="26"/>
  <c r="I4" i="26"/>
  <c r="H4" i="26"/>
  <c r="G4" i="26"/>
  <c r="F4" i="26"/>
  <c r="E4" i="26"/>
  <c r="D4" i="26"/>
  <c r="C4" i="26"/>
  <c r="BR3" i="26"/>
  <c r="BQ3" i="26"/>
  <c r="BP3" i="26"/>
  <c r="BO3" i="26"/>
  <c r="BN3" i="26"/>
  <c r="BM3" i="26"/>
  <c r="BL3" i="26"/>
  <c r="BK3" i="26"/>
  <c r="BJ3" i="26"/>
  <c r="BI3" i="26"/>
  <c r="BH3" i="26"/>
  <c r="BG3" i="26"/>
  <c r="BF3" i="26"/>
  <c r="BE3" i="26"/>
  <c r="BD3" i="26"/>
  <c r="BC3" i="26"/>
  <c r="AS3" i="26"/>
  <c r="AR3" i="26"/>
  <c r="AQ3" i="26"/>
  <c r="AP3" i="26"/>
  <c r="AO3" i="26"/>
  <c r="AN3" i="26"/>
  <c r="AM3" i="26"/>
  <c r="AK3" i="26"/>
  <c r="AJ3" i="26"/>
  <c r="AI3" i="26"/>
  <c r="AH3" i="26"/>
  <c r="AG3" i="26"/>
  <c r="AF3" i="26"/>
  <c r="AE3" i="26"/>
  <c r="AD3" i="26"/>
  <c r="AC3" i="26"/>
  <c r="AB3" i="26"/>
  <c r="AA3" i="26"/>
  <c r="Z3" i="26"/>
  <c r="Y3" i="26"/>
  <c r="X3" i="26"/>
  <c r="W3" i="26"/>
  <c r="V3" i="26"/>
  <c r="U3" i="26"/>
  <c r="T3" i="26"/>
  <c r="S3" i="26"/>
  <c r="R3" i="26"/>
  <c r="Q3" i="26"/>
  <c r="P3" i="26"/>
  <c r="O3" i="26"/>
  <c r="N3" i="26"/>
  <c r="M3" i="26"/>
  <c r="L3" i="26"/>
  <c r="K3" i="26"/>
  <c r="J3" i="26"/>
  <c r="I3" i="26"/>
  <c r="H3" i="26"/>
  <c r="G3" i="26"/>
  <c r="F3" i="26"/>
  <c r="E3" i="26"/>
  <c r="D3" i="26"/>
  <c r="C3" i="26"/>
  <c r="BR2" i="26"/>
  <c r="BQ2" i="26"/>
  <c r="BP2" i="26"/>
  <c r="BO2" i="26"/>
  <c r="BN2" i="26"/>
  <c r="BM2" i="26"/>
  <c r="BL2" i="26"/>
  <c r="BK2" i="26"/>
  <c r="BJ2" i="26"/>
  <c r="BI2" i="26"/>
  <c r="BH2" i="26"/>
  <c r="BG2" i="26"/>
  <c r="BF2" i="26"/>
  <c r="BE2" i="26"/>
  <c r="BD2" i="26"/>
  <c r="BC2" i="26"/>
  <c r="AS2" i="26"/>
  <c r="AR2" i="26"/>
  <c r="AQ2" i="26"/>
  <c r="AP2" i="26"/>
  <c r="AO2" i="26"/>
  <c r="AN2" i="26"/>
  <c r="AM2" i="26"/>
  <c r="AK2" i="26"/>
  <c r="AJ2" i="26"/>
  <c r="AI2" i="26"/>
  <c r="AH2" i="26"/>
  <c r="AG2" i="26"/>
  <c r="AF2" i="26"/>
  <c r="AE2" i="26"/>
  <c r="AD2" i="26"/>
  <c r="AC2" i="26"/>
  <c r="AB2" i="26"/>
  <c r="AA2" i="26"/>
  <c r="Z2" i="26"/>
  <c r="Y2" i="26"/>
  <c r="X2" i="26"/>
  <c r="W2" i="26"/>
  <c r="V2" i="26"/>
  <c r="U2" i="26"/>
  <c r="T2" i="26"/>
  <c r="S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AK33" i="6"/>
  <c r="AI33" i="6"/>
  <c r="AH33" i="6"/>
  <c r="AG33" i="6"/>
  <c r="AE33" i="6"/>
  <c r="AD33" i="6"/>
  <c r="AC33" i="6"/>
  <c r="AB33" i="6"/>
  <c r="AA33" i="6"/>
  <c r="Z33" i="6"/>
  <c r="Y33" i="6"/>
  <c r="X33" i="6"/>
  <c r="W33" i="6"/>
  <c r="AK32" i="6"/>
  <c r="AI32" i="6"/>
  <c r="AH32" i="6"/>
  <c r="AG32" i="6"/>
  <c r="AE32" i="6"/>
  <c r="AD32" i="6"/>
  <c r="AC32" i="6"/>
  <c r="AB32" i="6"/>
  <c r="AA32" i="6"/>
  <c r="Z32" i="6"/>
  <c r="Y32" i="6"/>
  <c r="X32" i="6"/>
  <c r="W32" i="6"/>
  <c r="AK31" i="6"/>
  <c r="AI31" i="6"/>
  <c r="AH31" i="6"/>
  <c r="AG31" i="6"/>
  <c r="AE31" i="6"/>
  <c r="AD31" i="6"/>
  <c r="AC31" i="6"/>
  <c r="AB31" i="6"/>
  <c r="AA31" i="6"/>
  <c r="Z31" i="6"/>
  <c r="Y31" i="6"/>
  <c r="X31" i="6"/>
  <c r="W31" i="6"/>
  <c r="AK30" i="6"/>
  <c r="AI30" i="6"/>
  <c r="AH30" i="6"/>
  <c r="AG30" i="6"/>
  <c r="AE30" i="6"/>
  <c r="AD30" i="6"/>
  <c r="AC30" i="6"/>
  <c r="AB30" i="6"/>
  <c r="AA30" i="6"/>
  <c r="Z30" i="6"/>
  <c r="Y30" i="6"/>
  <c r="X30" i="6"/>
  <c r="W30" i="6"/>
  <c r="AK29" i="6"/>
  <c r="AI29" i="6"/>
  <c r="AH29" i="6"/>
  <c r="AG29" i="6"/>
  <c r="AE29" i="6"/>
  <c r="AD29" i="6"/>
  <c r="AC29" i="6"/>
  <c r="AB29" i="6"/>
  <c r="AA29" i="6"/>
  <c r="Z29" i="6"/>
  <c r="Y29" i="6"/>
  <c r="X29" i="6"/>
  <c r="W29" i="6"/>
  <c r="AK28" i="6"/>
  <c r="AI28" i="6"/>
  <c r="AH28" i="6"/>
  <c r="AG28" i="6"/>
  <c r="AE28" i="6"/>
  <c r="AD28" i="6"/>
  <c r="AC28" i="6"/>
  <c r="AB28" i="6"/>
  <c r="AA28" i="6"/>
  <c r="Z28" i="6"/>
  <c r="Y28" i="6"/>
  <c r="X28" i="6"/>
  <c r="W28" i="6"/>
  <c r="AK27" i="6"/>
  <c r="AI27" i="6"/>
  <c r="AH27" i="6"/>
  <c r="AG27" i="6"/>
  <c r="AE27" i="6"/>
  <c r="AD27" i="6"/>
  <c r="AC27" i="6"/>
  <c r="AB27" i="6"/>
  <c r="AA27" i="6"/>
  <c r="Z27" i="6"/>
  <c r="Y27" i="6"/>
  <c r="X27" i="6"/>
  <c r="W27" i="6"/>
  <c r="AK26" i="6"/>
  <c r="AI26" i="6"/>
  <c r="AH26" i="6"/>
  <c r="AG26" i="6"/>
  <c r="AE26" i="6"/>
  <c r="AD26" i="6"/>
  <c r="AC26" i="6"/>
  <c r="AB26" i="6"/>
  <c r="AA26" i="6"/>
  <c r="Z26" i="6"/>
  <c r="Y26" i="6"/>
  <c r="X26" i="6"/>
  <c r="W26" i="6"/>
  <c r="AK25" i="6"/>
  <c r="AI25" i="6"/>
  <c r="AH25" i="6"/>
  <c r="AG25" i="6"/>
  <c r="AE25" i="6"/>
  <c r="AD25" i="6"/>
  <c r="AC25" i="6"/>
  <c r="AB25" i="6"/>
  <c r="AA25" i="6"/>
  <c r="Z25" i="6"/>
  <c r="Y25" i="6"/>
  <c r="X25" i="6"/>
  <c r="W25" i="6"/>
  <c r="AK24" i="6"/>
  <c r="AI24" i="6"/>
  <c r="AH24" i="6"/>
  <c r="AG24" i="6"/>
  <c r="AE24" i="6"/>
  <c r="AD24" i="6"/>
  <c r="AC24" i="6"/>
  <c r="AB24" i="6"/>
  <c r="AA24" i="6"/>
  <c r="Z24" i="6"/>
  <c r="Y24" i="6"/>
  <c r="X24" i="6"/>
  <c r="W24" i="6"/>
  <c r="AK23" i="6"/>
  <c r="AI23" i="6"/>
  <c r="AH23" i="6"/>
  <c r="AG23" i="6"/>
  <c r="AE23" i="6"/>
  <c r="AD23" i="6"/>
  <c r="AC23" i="6"/>
  <c r="AB23" i="6"/>
  <c r="AA23" i="6"/>
  <c r="Z23" i="6"/>
  <c r="Y23" i="6"/>
  <c r="X23" i="6"/>
  <c r="W23" i="6"/>
  <c r="AK22" i="6"/>
  <c r="AI22" i="6"/>
  <c r="AH22" i="6"/>
  <c r="AG22" i="6"/>
  <c r="AE22" i="6"/>
  <c r="AD22" i="6"/>
  <c r="AC22" i="6"/>
  <c r="AB22" i="6"/>
  <c r="AA22" i="6"/>
  <c r="Z22" i="6"/>
  <c r="Y22" i="6"/>
  <c r="X22" i="6"/>
  <c r="W22" i="6"/>
  <c r="AI21" i="6"/>
  <c r="AH21" i="6"/>
  <c r="AK20" i="6"/>
  <c r="AI20" i="6"/>
  <c r="AH20" i="6"/>
  <c r="AG20" i="6"/>
  <c r="AE20" i="6"/>
  <c r="AD20" i="6"/>
  <c r="AC20" i="6"/>
  <c r="AB20" i="6"/>
  <c r="AA20" i="6"/>
  <c r="Z20" i="6"/>
  <c r="Y20" i="6"/>
  <c r="X20" i="6"/>
  <c r="W20" i="6"/>
  <c r="AK19" i="6"/>
  <c r="AI19" i="6"/>
  <c r="AH19" i="6"/>
  <c r="AG19" i="6"/>
  <c r="AE19" i="6"/>
  <c r="AD19" i="6"/>
  <c r="AC19" i="6"/>
  <c r="AB19" i="6"/>
  <c r="AA19" i="6"/>
  <c r="Z19" i="6"/>
  <c r="Y19" i="6"/>
  <c r="X19" i="6"/>
  <c r="W19" i="6"/>
  <c r="AK18" i="6"/>
  <c r="AI18" i="6"/>
  <c r="AH18" i="6"/>
  <c r="AG18" i="6"/>
  <c r="AE18" i="6"/>
  <c r="AD18" i="6"/>
  <c r="AC18" i="6"/>
  <c r="AB18" i="6"/>
  <c r="AA18" i="6"/>
  <c r="Z18" i="6"/>
  <c r="Y18" i="6"/>
  <c r="X18" i="6"/>
  <c r="W18" i="6"/>
  <c r="AK17" i="6"/>
  <c r="AI17" i="6"/>
  <c r="AH17" i="6"/>
  <c r="AG17" i="6"/>
  <c r="AE17" i="6"/>
  <c r="AD17" i="6"/>
  <c r="AC17" i="6"/>
  <c r="AB17" i="6"/>
  <c r="AA17" i="6"/>
  <c r="Z17" i="6"/>
  <c r="Y17" i="6"/>
  <c r="X17" i="6"/>
  <c r="W17" i="6"/>
  <c r="AK16" i="6"/>
  <c r="AI16" i="6"/>
  <c r="AH16" i="6"/>
  <c r="AG16" i="6"/>
  <c r="AE16" i="6"/>
  <c r="AD16" i="6"/>
  <c r="AC16" i="6"/>
  <c r="AB16" i="6"/>
  <c r="AA16" i="6"/>
  <c r="Z16" i="6"/>
  <c r="Y16" i="6"/>
  <c r="X16" i="6"/>
  <c r="W16" i="6"/>
  <c r="AK15" i="6"/>
  <c r="AI15" i="6"/>
  <c r="AH15" i="6"/>
  <c r="AG15" i="6"/>
  <c r="AE15" i="6"/>
  <c r="AD15" i="6"/>
  <c r="AC15" i="6"/>
  <c r="AB15" i="6"/>
  <c r="AA15" i="6"/>
  <c r="Z15" i="6"/>
  <c r="Y15" i="6"/>
  <c r="X15" i="6"/>
  <c r="W15" i="6"/>
  <c r="AK14" i="6"/>
  <c r="AI14" i="6"/>
  <c r="AH14" i="6"/>
  <c r="AG14" i="6"/>
  <c r="AE14" i="6"/>
  <c r="AD14" i="6"/>
  <c r="AC14" i="6"/>
  <c r="AB14" i="6"/>
  <c r="AA14" i="6"/>
  <c r="Z14" i="6"/>
  <c r="Y14" i="6"/>
  <c r="X14" i="6"/>
  <c r="W14" i="6"/>
  <c r="AK13" i="6"/>
  <c r="AI13" i="6"/>
  <c r="AH13" i="6"/>
  <c r="AG13" i="6"/>
  <c r="AE13" i="6"/>
  <c r="AD13" i="6"/>
  <c r="AC13" i="6"/>
  <c r="AB13" i="6"/>
  <c r="AA13" i="6"/>
  <c r="Z13" i="6"/>
  <c r="Y13" i="6"/>
  <c r="X13" i="6"/>
  <c r="W13" i="6"/>
  <c r="AK12" i="6"/>
  <c r="AI12" i="6"/>
  <c r="AH12" i="6"/>
  <c r="AG12" i="6"/>
  <c r="AE12" i="6"/>
  <c r="AD12" i="6"/>
  <c r="AC12" i="6"/>
  <c r="AB12" i="6"/>
  <c r="AA12" i="6"/>
  <c r="Z12" i="6"/>
  <c r="Y12" i="6"/>
  <c r="X12" i="6"/>
  <c r="W12" i="6"/>
  <c r="AK11" i="6"/>
  <c r="AI11" i="6"/>
  <c r="AH11" i="6"/>
  <c r="AG11" i="6"/>
  <c r="AE11" i="6"/>
  <c r="AD11" i="6"/>
  <c r="AC11" i="6"/>
  <c r="AB11" i="6"/>
  <c r="AA11" i="6"/>
  <c r="Z11" i="6"/>
  <c r="Y11" i="6"/>
  <c r="X11" i="6"/>
  <c r="W11" i="6"/>
  <c r="AK10" i="6"/>
  <c r="AI10" i="6"/>
  <c r="AH10" i="6"/>
  <c r="AG10" i="6"/>
  <c r="AE10" i="6"/>
  <c r="AD10" i="6"/>
  <c r="AC10" i="6"/>
  <c r="AB10" i="6"/>
  <c r="AA10" i="6"/>
  <c r="Z10" i="6"/>
  <c r="Y10" i="6"/>
  <c r="X10" i="6"/>
  <c r="W10" i="6"/>
  <c r="BS6" i="6"/>
  <c r="BR6" i="6"/>
  <c r="BQ6" i="6"/>
  <c r="BP6" i="6"/>
  <c r="BO6" i="6"/>
  <c r="BN6" i="6"/>
  <c r="BM6" i="6"/>
  <c r="BL6" i="6"/>
  <c r="BK6" i="6"/>
  <c r="BJ6" i="6"/>
  <c r="BI6" i="6"/>
  <c r="BH6" i="6"/>
  <c r="BG6" i="6"/>
  <c r="BF6" i="6"/>
  <c r="BE6" i="6"/>
  <c r="BD6" i="6"/>
  <c r="AT6" i="6"/>
  <c r="AS6" i="6"/>
  <c r="AR6" i="6"/>
  <c r="AQ6" i="6"/>
  <c r="AP6" i="6"/>
  <c r="AO6" i="6"/>
  <c r="AN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BS5" i="6"/>
  <c r="BR5" i="6"/>
  <c r="BQ5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AT5" i="6"/>
  <c r="AS5" i="6"/>
  <c r="AR5" i="6"/>
  <c r="AQ5" i="6"/>
  <c r="AP5" i="6"/>
  <c r="AO5" i="6"/>
  <c r="AN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BS4" i="6"/>
  <c r="BR4" i="6"/>
  <c r="BQ4" i="6"/>
  <c r="BP4" i="6"/>
  <c r="BO4" i="6"/>
  <c r="BN4" i="6"/>
  <c r="BM4" i="6"/>
  <c r="BL4" i="6"/>
  <c r="BK4" i="6"/>
  <c r="BJ4" i="6"/>
  <c r="BI4" i="6"/>
  <c r="BH4" i="6"/>
  <c r="BG4" i="6"/>
  <c r="BF4" i="6"/>
  <c r="BE4" i="6"/>
  <c r="BD4" i="6"/>
  <c r="AT4" i="6"/>
  <c r="AS4" i="6"/>
  <c r="AR4" i="6"/>
  <c r="AQ4" i="6"/>
  <c r="AP4" i="6"/>
  <c r="AO4" i="6"/>
  <c r="AN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AT3" i="6"/>
  <c r="AS3" i="6"/>
  <c r="AR3" i="6"/>
  <c r="AQ3" i="6"/>
  <c r="AP3" i="6"/>
  <c r="AO3" i="6"/>
  <c r="AN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B3" i="6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AT2" i="6"/>
  <c r="AS2" i="6"/>
  <c r="AR2" i="6"/>
  <c r="AQ2" i="6"/>
  <c r="AP2" i="6"/>
  <c r="AO2" i="6"/>
  <c r="AN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AA33" i="25"/>
  <c r="Y33" i="25"/>
  <c r="X33" i="25"/>
  <c r="W33" i="25"/>
  <c r="V33" i="25"/>
  <c r="U33" i="25"/>
  <c r="T33" i="25"/>
  <c r="AA32" i="25"/>
  <c r="Y32" i="25"/>
  <c r="X32" i="25"/>
  <c r="W32" i="25"/>
  <c r="V32" i="25"/>
  <c r="U32" i="25"/>
  <c r="T32" i="25"/>
  <c r="AA31" i="25"/>
  <c r="Y31" i="25"/>
  <c r="X31" i="25"/>
  <c r="W31" i="25"/>
  <c r="V31" i="25"/>
  <c r="U31" i="25"/>
  <c r="T31" i="25"/>
  <c r="AA30" i="25"/>
  <c r="Y30" i="25"/>
  <c r="X30" i="25"/>
  <c r="W30" i="25"/>
  <c r="V30" i="25"/>
  <c r="U30" i="25"/>
  <c r="T30" i="25"/>
  <c r="AA29" i="25"/>
  <c r="Y29" i="25"/>
  <c r="X29" i="25"/>
  <c r="W29" i="25"/>
  <c r="V29" i="25"/>
  <c r="U29" i="25"/>
  <c r="T29" i="25"/>
  <c r="AA28" i="25"/>
  <c r="Y28" i="25"/>
  <c r="X28" i="25"/>
  <c r="W28" i="25"/>
  <c r="V28" i="25"/>
  <c r="U28" i="25"/>
  <c r="T28" i="25"/>
  <c r="AA27" i="25"/>
  <c r="Y27" i="25"/>
  <c r="X27" i="25"/>
  <c r="W27" i="25"/>
  <c r="V27" i="25"/>
  <c r="U27" i="25"/>
  <c r="T27" i="25"/>
  <c r="AA26" i="25"/>
  <c r="Y26" i="25"/>
  <c r="X26" i="25"/>
  <c r="W26" i="25"/>
  <c r="V26" i="25"/>
  <c r="U26" i="25"/>
  <c r="T26" i="25"/>
  <c r="AA25" i="25"/>
  <c r="Y25" i="25"/>
  <c r="X25" i="25"/>
  <c r="W25" i="25"/>
  <c r="V25" i="25"/>
  <c r="U25" i="25"/>
  <c r="T25" i="25"/>
  <c r="AA24" i="25"/>
  <c r="Y24" i="25"/>
  <c r="X24" i="25"/>
  <c r="W24" i="25"/>
  <c r="V24" i="25"/>
  <c r="U24" i="25"/>
  <c r="T24" i="25"/>
  <c r="AA23" i="25"/>
  <c r="Y23" i="25"/>
  <c r="X23" i="25"/>
  <c r="W23" i="25"/>
  <c r="V23" i="25"/>
  <c r="U23" i="25"/>
  <c r="T23" i="25"/>
  <c r="AA22" i="25"/>
  <c r="Y22" i="25"/>
  <c r="X22" i="25"/>
  <c r="W22" i="25"/>
  <c r="V22" i="25"/>
  <c r="U22" i="25"/>
  <c r="T22" i="25"/>
  <c r="AA21" i="25"/>
  <c r="Y21" i="25"/>
  <c r="X21" i="25"/>
  <c r="W21" i="25"/>
  <c r="V21" i="25"/>
  <c r="U21" i="25"/>
  <c r="T21" i="25"/>
  <c r="AA20" i="25"/>
  <c r="Y20" i="25"/>
  <c r="X20" i="25"/>
  <c r="W20" i="25"/>
  <c r="V20" i="25"/>
  <c r="U20" i="25"/>
  <c r="T20" i="25"/>
  <c r="AA19" i="25"/>
  <c r="Y19" i="25"/>
  <c r="X19" i="25"/>
  <c r="W19" i="25"/>
  <c r="V19" i="25"/>
  <c r="U19" i="25"/>
  <c r="T19" i="25"/>
  <c r="AA18" i="25"/>
  <c r="Y18" i="25"/>
  <c r="X18" i="25"/>
  <c r="W18" i="25"/>
  <c r="V18" i="25"/>
  <c r="U18" i="25"/>
  <c r="T18" i="25"/>
  <c r="AA17" i="25"/>
  <c r="Y17" i="25"/>
  <c r="X17" i="25"/>
  <c r="W17" i="25"/>
  <c r="V17" i="25"/>
  <c r="U17" i="25"/>
  <c r="T17" i="25"/>
  <c r="AA16" i="25"/>
  <c r="Y16" i="25"/>
  <c r="X16" i="25"/>
  <c r="W16" i="25"/>
  <c r="V16" i="25"/>
  <c r="U16" i="25"/>
  <c r="T16" i="25"/>
  <c r="AA15" i="25"/>
  <c r="Y15" i="25"/>
  <c r="X15" i="25"/>
  <c r="W15" i="25"/>
  <c r="V15" i="25"/>
  <c r="U15" i="25"/>
  <c r="T15" i="25"/>
  <c r="AA14" i="25"/>
  <c r="Y14" i="25"/>
  <c r="X14" i="25"/>
  <c r="W14" i="25"/>
  <c r="V14" i="25"/>
  <c r="U14" i="25"/>
  <c r="T14" i="25"/>
  <c r="AA13" i="25"/>
  <c r="Y13" i="25"/>
  <c r="X13" i="25"/>
  <c r="W13" i="25"/>
  <c r="V13" i="25"/>
  <c r="U13" i="25"/>
  <c r="T13" i="25"/>
  <c r="AA12" i="25"/>
  <c r="Y12" i="25"/>
  <c r="X12" i="25"/>
  <c r="W12" i="25"/>
  <c r="V12" i="25"/>
  <c r="U12" i="25"/>
  <c r="T12" i="25"/>
  <c r="AA11" i="25"/>
  <c r="Y11" i="25"/>
  <c r="X11" i="25"/>
  <c r="W11" i="25"/>
  <c r="V11" i="25"/>
  <c r="U11" i="25"/>
  <c r="T11" i="25"/>
  <c r="AA10" i="25"/>
  <c r="Y10" i="25"/>
  <c r="X10" i="25"/>
  <c r="W10" i="25"/>
  <c r="V10" i="25"/>
  <c r="U10" i="25"/>
  <c r="T10" i="25"/>
  <c r="AR6" i="25"/>
  <c r="AQ6" i="25"/>
  <c r="AP6" i="25"/>
  <c r="AO6" i="25"/>
  <c r="AN6" i="25"/>
  <c r="AM6" i="25"/>
  <c r="AL6" i="25"/>
  <c r="AK6" i="25"/>
  <c r="AJ6" i="25"/>
  <c r="AD6" i="25"/>
  <c r="AC6" i="25"/>
  <c r="AB6" i="25"/>
  <c r="AA6" i="25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AR5" i="25"/>
  <c r="AQ5" i="25"/>
  <c r="AP5" i="25"/>
  <c r="AO5" i="25"/>
  <c r="AN5" i="25"/>
  <c r="AM5" i="25"/>
  <c r="AL5" i="25"/>
  <c r="AK5" i="25"/>
  <c r="AJ5" i="25"/>
  <c r="AD5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AR4" i="25"/>
  <c r="AQ4" i="25"/>
  <c r="AP4" i="25"/>
  <c r="AO4" i="25"/>
  <c r="AN4" i="25"/>
  <c r="AM4" i="25"/>
  <c r="AL4" i="25"/>
  <c r="AK4" i="25"/>
  <c r="AJ4" i="25"/>
  <c r="AD4" i="25"/>
  <c r="AC4" i="25"/>
  <c r="AB4" i="25"/>
  <c r="AA4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AR3" i="25"/>
  <c r="AQ3" i="25"/>
  <c r="AP3" i="25"/>
  <c r="AO3" i="25"/>
  <c r="AN3" i="25"/>
  <c r="AM3" i="25"/>
  <c r="AL3" i="25"/>
  <c r="AK3" i="25"/>
  <c r="AJ3" i="25"/>
  <c r="AD3" i="25"/>
  <c r="AC3" i="25"/>
  <c r="AB3" i="25"/>
  <c r="AA3" i="25"/>
  <c r="Z3" i="25"/>
  <c r="Y3" i="25"/>
  <c r="X3" i="25"/>
  <c r="W3" i="25"/>
  <c r="V3" i="25"/>
  <c r="U3" i="25"/>
  <c r="T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C3" i="25"/>
  <c r="AR2" i="25"/>
  <c r="AQ2" i="25"/>
  <c r="AP2" i="25"/>
  <c r="AO2" i="25"/>
  <c r="AN2" i="25"/>
  <c r="AM2" i="25"/>
  <c r="AL2" i="25"/>
  <c r="AK2" i="25"/>
  <c r="AJ2" i="25"/>
  <c r="AD2" i="25"/>
  <c r="AC2" i="25"/>
  <c r="AB2" i="25"/>
  <c r="AA2" i="25"/>
  <c r="Z2" i="25"/>
  <c r="Y2" i="25"/>
  <c r="X2" i="25"/>
  <c r="W2" i="25"/>
  <c r="V2" i="25"/>
  <c r="U2" i="25"/>
  <c r="T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AC33" i="16"/>
  <c r="AA33" i="16"/>
  <c r="Z33" i="16"/>
  <c r="Y33" i="16"/>
  <c r="X33" i="16"/>
  <c r="W33" i="16"/>
  <c r="V33" i="16"/>
  <c r="AC32" i="16"/>
  <c r="AA32" i="16"/>
  <c r="Z32" i="16"/>
  <c r="Y32" i="16"/>
  <c r="X32" i="16"/>
  <c r="W32" i="16"/>
  <c r="V32" i="16"/>
  <c r="AC31" i="16"/>
  <c r="AA31" i="16"/>
  <c r="Z31" i="16"/>
  <c r="Y31" i="16"/>
  <c r="X31" i="16"/>
  <c r="W31" i="16"/>
  <c r="V31" i="16"/>
  <c r="AC30" i="16"/>
  <c r="AA30" i="16"/>
  <c r="Z30" i="16"/>
  <c r="Y30" i="16"/>
  <c r="X30" i="16"/>
  <c r="W30" i="16"/>
  <c r="V30" i="16"/>
  <c r="AC29" i="16"/>
  <c r="AA29" i="16"/>
  <c r="Z29" i="16"/>
  <c r="Y29" i="16"/>
  <c r="X29" i="16"/>
  <c r="W29" i="16"/>
  <c r="V29" i="16"/>
  <c r="AC28" i="16"/>
  <c r="AA28" i="16"/>
  <c r="Z28" i="16"/>
  <c r="Y28" i="16"/>
  <c r="X28" i="16"/>
  <c r="W28" i="16"/>
  <c r="V28" i="16"/>
  <c r="AC27" i="16"/>
  <c r="AA27" i="16"/>
  <c r="Z27" i="16"/>
  <c r="Y27" i="16"/>
  <c r="X27" i="16"/>
  <c r="W27" i="16"/>
  <c r="V27" i="16"/>
  <c r="AC26" i="16"/>
  <c r="AA26" i="16"/>
  <c r="Z26" i="16"/>
  <c r="Y26" i="16"/>
  <c r="X26" i="16"/>
  <c r="W26" i="16"/>
  <c r="V26" i="16"/>
  <c r="AC25" i="16"/>
  <c r="AA25" i="16"/>
  <c r="Z25" i="16"/>
  <c r="Y25" i="16"/>
  <c r="X25" i="16"/>
  <c r="W25" i="16"/>
  <c r="V25" i="16"/>
  <c r="AC24" i="16"/>
  <c r="AA24" i="16"/>
  <c r="Z24" i="16"/>
  <c r="Y24" i="16"/>
  <c r="X24" i="16"/>
  <c r="W24" i="16"/>
  <c r="V24" i="16"/>
  <c r="AC23" i="16"/>
  <c r="AA23" i="16"/>
  <c r="Z23" i="16"/>
  <c r="Y23" i="16"/>
  <c r="X23" i="16"/>
  <c r="W23" i="16"/>
  <c r="V23" i="16"/>
  <c r="AC22" i="16"/>
  <c r="AA22" i="16"/>
  <c r="Z22" i="16"/>
  <c r="Y22" i="16"/>
  <c r="X22" i="16"/>
  <c r="W22" i="16"/>
  <c r="V22" i="16"/>
  <c r="AC21" i="16"/>
  <c r="AA21" i="16"/>
  <c r="Z21" i="16"/>
  <c r="Y21" i="16"/>
  <c r="X21" i="16"/>
  <c r="W21" i="16"/>
  <c r="V21" i="16"/>
  <c r="AC20" i="16"/>
  <c r="AA20" i="16"/>
  <c r="Z20" i="16"/>
  <c r="Y20" i="16"/>
  <c r="X20" i="16"/>
  <c r="W20" i="16"/>
  <c r="V20" i="16"/>
  <c r="AC19" i="16"/>
  <c r="AA19" i="16"/>
  <c r="Z19" i="16"/>
  <c r="Y19" i="16"/>
  <c r="X19" i="16"/>
  <c r="W19" i="16"/>
  <c r="V19" i="16"/>
  <c r="AC18" i="16"/>
  <c r="AA18" i="16"/>
  <c r="Z18" i="16"/>
  <c r="Y18" i="16"/>
  <c r="X18" i="16"/>
  <c r="W18" i="16"/>
  <c r="V18" i="16"/>
  <c r="AC17" i="16"/>
  <c r="AA17" i="16"/>
  <c r="Z17" i="16"/>
  <c r="Y17" i="16"/>
  <c r="X17" i="16"/>
  <c r="W17" i="16"/>
  <c r="V17" i="16"/>
  <c r="AC16" i="16"/>
  <c r="AA16" i="16"/>
  <c r="Z16" i="16"/>
  <c r="Y16" i="16"/>
  <c r="X16" i="16"/>
  <c r="W16" i="16"/>
  <c r="V16" i="16"/>
  <c r="AC15" i="16"/>
  <c r="AA15" i="16"/>
  <c r="Z15" i="16"/>
  <c r="Y15" i="16"/>
  <c r="X15" i="16"/>
  <c r="W15" i="16"/>
  <c r="V15" i="16"/>
  <c r="AC14" i="16"/>
  <c r="AA14" i="16"/>
  <c r="Z14" i="16"/>
  <c r="Y14" i="16"/>
  <c r="X14" i="16"/>
  <c r="W14" i="16"/>
  <c r="V14" i="16"/>
  <c r="AC13" i="16"/>
  <c r="AA13" i="16"/>
  <c r="Z13" i="16"/>
  <c r="Y13" i="16"/>
  <c r="X13" i="16"/>
  <c r="W13" i="16"/>
  <c r="V13" i="16"/>
  <c r="AA12" i="16"/>
  <c r="Z12" i="16"/>
  <c r="Y12" i="16"/>
  <c r="X12" i="16"/>
  <c r="W12" i="16"/>
  <c r="AC12" i="16" s="1"/>
  <c r="V12" i="16"/>
  <c r="AC11" i="16"/>
  <c r="AA11" i="16"/>
  <c r="Z11" i="16"/>
  <c r="Y11" i="16"/>
  <c r="X11" i="16"/>
  <c r="W11" i="16"/>
  <c r="V11" i="16"/>
  <c r="AC10" i="16"/>
  <c r="AC6" i="16" s="1"/>
  <c r="AA10" i="16"/>
  <c r="Z10" i="16"/>
  <c r="Y10" i="16"/>
  <c r="X10" i="16"/>
  <c r="X6" i="16" s="1"/>
  <c r="W10" i="16"/>
  <c r="V10" i="16"/>
  <c r="V6" i="16" s="1"/>
  <c r="C10" i="16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AT6" i="16"/>
  <c r="AS6" i="16"/>
  <c r="AR6" i="16"/>
  <c r="AQ6" i="16"/>
  <c r="AP6" i="16"/>
  <c r="AO6" i="16"/>
  <c r="AN6" i="16"/>
  <c r="AM6" i="16"/>
  <c r="AL6" i="16"/>
  <c r="AF6" i="16"/>
  <c r="AE6" i="16"/>
  <c r="AD6" i="16"/>
  <c r="AB6" i="16"/>
  <c r="W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E6" i="16"/>
  <c r="AT5" i="16"/>
  <c r="AS5" i="16"/>
  <c r="AR5" i="16"/>
  <c r="AQ5" i="16"/>
  <c r="AP5" i="16"/>
  <c r="AO5" i="16"/>
  <c r="AN5" i="16"/>
  <c r="AM5" i="16"/>
  <c r="AL5" i="16"/>
  <c r="AF5" i="16"/>
  <c r="AE5" i="16"/>
  <c r="AD5" i="16"/>
  <c r="AB5" i="16"/>
  <c r="X5" i="16"/>
  <c r="W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E5" i="16"/>
  <c r="AT4" i="16"/>
  <c r="AS4" i="16"/>
  <c r="AR4" i="16"/>
  <c r="AQ4" i="16"/>
  <c r="AP4" i="16"/>
  <c r="AO4" i="16"/>
  <c r="AN4" i="16"/>
  <c r="AM4" i="16"/>
  <c r="AL4" i="16"/>
  <c r="AF4" i="16"/>
  <c r="AE4" i="16"/>
  <c r="AD4" i="16"/>
  <c r="AB4" i="16"/>
  <c r="X4" i="16"/>
  <c r="W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E4" i="16"/>
  <c r="AT3" i="16"/>
  <c r="AS3" i="16"/>
  <c r="AR3" i="16"/>
  <c r="AQ3" i="16"/>
  <c r="AP3" i="16"/>
  <c r="AO3" i="16"/>
  <c r="AN3" i="16"/>
  <c r="AM3" i="16"/>
  <c r="AL3" i="16"/>
  <c r="AF3" i="16"/>
  <c r="AE3" i="16"/>
  <c r="AD3" i="16"/>
  <c r="AB3" i="16"/>
  <c r="X3" i="16"/>
  <c r="W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E3" i="16"/>
  <c r="AT2" i="16"/>
  <c r="AS2" i="16"/>
  <c r="AR2" i="16"/>
  <c r="AQ2" i="16"/>
  <c r="AP2" i="16"/>
  <c r="AO2" i="16"/>
  <c r="AN2" i="16"/>
  <c r="AM2" i="16"/>
  <c r="AL2" i="16"/>
  <c r="AF2" i="16"/>
  <c r="AE2" i="16"/>
  <c r="AD2" i="16"/>
  <c r="AB2" i="16"/>
  <c r="W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E2" i="16"/>
  <c r="AA11" i="22"/>
  <c r="Y11" i="22"/>
  <c r="X11" i="22"/>
  <c r="W11" i="22"/>
  <c r="V11" i="22"/>
  <c r="U11" i="22"/>
  <c r="T11" i="22"/>
  <c r="C11" i="22"/>
  <c r="AZ7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C6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C5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C4" i="22"/>
  <c r="AZ3" i="22"/>
  <c r="AY3" i="22"/>
  <c r="AX3" i="22"/>
  <c r="AW3" i="22"/>
  <c r="AV3" i="22"/>
  <c r="AU3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E3" i="22"/>
  <c r="D3" i="22"/>
  <c r="C3" i="22"/>
  <c r="AA34" i="4"/>
  <c r="Y34" i="4"/>
  <c r="X34" i="4"/>
  <c r="W34" i="4"/>
  <c r="V34" i="4"/>
  <c r="U34" i="4"/>
  <c r="T34" i="4"/>
  <c r="D34" i="4"/>
  <c r="AA33" i="4"/>
  <c r="Y33" i="4"/>
  <c r="X33" i="4"/>
  <c r="W33" i="4"/>
  <c r="V33" i="4"/>
  <c r="U33" i="4"/>
  <c r="T33" i="4"/>
  <c r="D33" i="4"/>
  <c r="AA32" i="4"/>
  <c r="Y32" i="4"/>
  <c r="X32" i="4"/>
  <c r="W32" i="4"/>
  <c r="V32" i="4"/>
  <c r="U32" i="4"/>
  <c r="T32" i="4"/>
  <c r="D32" i="4"/>
  <c r="AA31" i="4"/>
  <c r="Y31" i="4"/>
  <c r="X31" i="4"/>
  <c r="W31" i="4"/>
  <c r="V31" i="4"/>
  <c r="U31" i="4"/>
  <c r="T31" i="4"/>
  <c r="D31" i="4"/>
  <c r="AA30" i="4"/>
  <c r="Y30" i="4"/>
  <c r="X30" i="4"/>
  <c r="W30" i="4"/>
  <c r="V30" i="4"/>
  <c r="U30" i="4"/>
  <c r="T30" i="4"/>
  <c r="D30" i="4"/>
  <c r="AA29" i="4"/>
  <c r="Y29" i="4"/>
  <c r="X29" i="4"/>
  <c r="W29" i="4"/>
  <c r="V29" i="4"/>
  <c r="U29" i="4"/>
  <c r="T29" i="4"/>
  <c r="D29" i="4"/>
  <c r="AA28" i="4"/>
  <c r="Y28" i="4"/>
  <c r="X28" i="4"/>
  <c r="W28" i="4"/>
  <c r="V28" i="4"/>
  <c r="U28" i="4"/>
  <c r="T28" i="4"/>
  <c r="D28" i="4"/>
  <c r="AA27" i="4"/>
  <c r="Y27" i="4"/>
  <c r="X27" i="4"/>
  <c r="W27" i="4"/>
  <c r="V27" i="4"/>
  <c r="U27" i="4"/>
  <c r="T27" i="4"/>
  <c r="D27" i="4"/>
  <c r="AA26" i="4"/>
  <c r="Y26" i="4"/>
  <c r="X26" i="4"/>
  <c r="W26" i="4"/>
  <c r="V26" i="4"/>
  <c r="U26" i="4"/>
  <c r="T26" i="4"/>
  <c r="D26" i="4"/>
  <c r="AA25" i="4"/>
  <c r="Y25" i="4"/>
  <c r="X25" i="4"/>
  <c r="W25" i="4"/>
  <c r="V25" i="4"/>
  <c r="U25" i="4"/>
  <c r="T25" i="4"/>
  <c r="D25" i="4"/>
  <c r="AA24" i="4"/>
  <c r="Y24" i="4"/>
  <c r="X24" i="4"/>
  <c r="W24" i="4"/>
  <c r="V24" i="4"/>
  <c r="U24" i="4"/>
  <c r="T24" i="4"/>
  <c r="D24" i="4"/>
  <c r="AA23" i="4"/>
  <c r="Y23" i="4"/>
  <c r="X23" i="4"/>
  <c r="W23" i="4"/>
  <c r="V23" i="4"/>
  <c r="U23" i="4"/>
  <c r="T23" i="4"/>
  <c r="D23" i="4"/>
  <c r="AA22" i="4"/>
  <c r="Y22" i="4"/>
  <c r="X22" i="4"/>
  <c r="W22" i="4"/>
  <c r="V22" i="4"/>
  <c r="U22" i="4"/>
  <c r="T22" i="4"/>
  <c r="D22" i="4"/>
  <c r="AA21" i="4"/>
  <c r="Y21" i="4"/>
  <c r="X21" i="4"/>
  <c r="W21" i="4"/>
  <c r="V21" i="4"/>
  <c r="U21" i="4"/>
  <c r="T21" i="4"/>
  <c r="D21" i="4"/>
  <c r="AA20" i="4"/>
  <c r="Y20" i="4"/>
  <c r="X20" i="4"/>
  <c r="W20" i="4"/>
  <c r="V20" i="4"/>
  <c r="U20" i="4"/>
  <c r="T20" i="4"/>
  <c r="D20" i="4"/>
  <c r="AA19" i="4"/>
  <c r="Y19" i="4"/>
  <c r="X19" i="4"/>
  <c r="W19" i="4"/>
  <c r="V19" i="4"/>
  <c r="U19" i="4"/>
  <c r="T19" i="4"/>
  <c r="D19" i="4"/>
  <c r="AA18" i="4"/>
  <c r="Y18" i="4"/>
  <c r="X18" i="4"/>
  <c r="W18" i="4"/>
  <c r="V18" i="4"/>
  <c r="U18" i="4"/>
  <c r="T18" i="4"/>
  <c r="D18" i="4"/>
  <c r="AA17" i="4"/>
  <c r="Y17" i="4"/>
  <c r="X17" i="4"/>
  <c r="W17" i="4"/>
  <c r="V17" i="4"/>
  <c r="U17" i="4"/>
  <c r="T17" i="4"/>
  <c r="D17" i="4"/>
  <c r="AA16" i="4"/>
  <c r="Y16" i="4"/>
  <c r="X16" i="4"/>
  <c r="W16" i="4"/>
  <c r="V16" i="4"/>
  <c r="U16" i="4"/>
  <c r="T16" i="4"/>
  <c r="D16" i="4"/>
  <c r="AA15" i="4"/>
  <c r="Y15" i="4"/>
  <c r="X15" i="4"/>
  <c r="W15" i="4"/>
  <c r="V15" i="4"/>
  <c r="U15" i="4"/>
  <c r="T15" i="4"/>
  <c r="D15" i="4"/>
  <c r="AA14" i="4"/>
  <c r="Y14" i="4"/>
  <c r="X14" i="4"/>
  <c r="W14" i="4"/>
  <c r="V14" i="4"/>
  <c r="U14" i="4"/>
  <c r="T14" i="4"/>
  <c r="D14" i="4"/>
  <c r="AA13" i="4"/>
  <c r="Y13" i="4"/>
  <c r="X13" i="4"/>
  <c r="W13" i="4"/>
  <c r="V13" i="4"/>
  <c r="U13" i="4"/>
  <c r="T13" i="4"/>
  <c r="D13" i="4"/>
  <c r="AA12" i="4"/>
  <c r="Y12" i="4"/>
  <c r="X12" i="4"/>
  <c r="W12" i="4"/>
  <c r="V12" i="4"/>
  <c r="U12" i="4"/>
  <c r="T12" i="4"/>
  <c r="D12" i="4"/>
  <c r="AA11" i="4"/>
  <c r="Y11" i="4"/>
  <c r="X11" i="4"/>
  <c r="W11" i="4"/>
  <c r="V11" i="4"/>
  <c r="U11" i="4"/>
  <c r="T11" i="4"/>
  <c r="D11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B6" i="4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Z2" i="16" l="1"/>
  <c r="X2" i="16"/>
  <c r="AA4" i="16"/>
  <c r="Y5" i="16"/>
  <c r="Y4" i="16"/>
  <c r="Y3" i="16"/>
  <c r="Y6" i="16"/>
  <c r="Y2" i="16"/>
  <c r="Z3" i="16"/>
  <c r="AA3" i="16"/>
  <c r="AA2" i="16"/>
  <c r="Z6" i="16"/>
  <c r="AA6" i="16"/>
  <c r="Z4" i="16"/>
  <c r="Z5" i="16"/>
  <c r="AA5" i="16"/>
  <c r="V2" i="16"/>
  <c r="V3" i="16"/>
  <c r="V4" i="16"/>
  <c r="V5" i="16"/>
  <c r="AC2" i="16"/>
  <c r="AC3" i="16"/>
  <c r="AC4" i="16"/>
  <c r="AC5" i="16"/>
</calcChain>
</file>

<file path=xl/sharedStrings.xml><?xml version="1.0" encoding="utf-8"?>
<sst xmlns="http://schemas.openxmlformats.org/spreadsheetml/2006/main" count="1314" uniqueCount="156">
  <si>
    <t>Tarih</t>
  </si>
  <si>
    <t>Saat</t>
  </si>
  <si>
    <t>MS</t>
  </si>
  <si>
    <t>MA</t>
  </si>
  <si>
    <t>MH</t>
  </si>
  <si>
    <t>LSF</t>
  </si>
  <si>
    <t>Rutubet (%)</t>
  </si>
  <si>
    <t>Değirmen Çıkışı Farin</t>
  </si>
  <si>
    <t>CaO</t>
  </si>
  <si>
    <t>MgO</t>
  </si>
  <si>
    <t>YSM</t>
  </si>
  <si>
    <t>DSM</t>
  </si>
  <si>
    <r>
      <t>SiO</t>
    </r>
    <r>
      <rPr>
        <b/>
        <vertAlign val="subscript"/>
        <sz val="10"/>
        <rFont val="Arial TUR"/>
        <family val="2"/>
        <charset val="162"/>
      </rPr>
      <t>2</t>
    </r>
  </si>
  <si>
    <r>
      <t>Al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family val="2"/>
        <charset val="162"/>
      </rPr>
      <t>3</t>
    </r>
  </si>
  <si>
    <r>
      <t>Fe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family val="2"/>
        <charset val="162"/>
      </rPr>
      <t>3</t>
    </r>
  </si>
  <si>
    <r>
      <t>SO</t>
    </r>
    <r>
      <rPr>
        <b/>
        <vertAlign val="subscript"/>
        <sz val="10"/>
        <rFont val="Arial TUR"/>
        <family val="2"/>
        <charset val="162"/>
      </rPr>
      <t>3</t>
    </r>
  </si>
  <si>
    <r>
      <t>K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</si>
  <si>
    <t>Boksit</t>
  </si>
  <si>
    <r>
      <t>C</t>
    </r>
    <r>
      <rPr>
        <b/>
        <vertAlign val="subscript"/>
        <sz val="10"/>
        <rFont val="Arial TUR"/>
        <family val="2"/>
        <charset val="162"/>
      </rPr>
      <t>3</t>
    </r>
    <r>
      <rPr>
        <b/>
        <sz val="10"/>
        <rFont val="Arial Tur"/>
        <family val="2"/>
        <charset val="162"/>
      </rPr>
      <t>S</t>
    </r>
  </si>
  <si>
    <t>FD 1 Çıkışı</t>
  </si>
  <si>
    <t>FD 2 Çıkışı</t>
  </si>
  <si>
    <t>FD 3 Çıkışı</t>
  </si>
  <si>
    <t>Delta K</t>
  </si>
  <si>
    <t>Likid Faz</t>
  </si>
  <si>
    <t>Kömür Tonajı</t>
  </si>
  <si>
    <t>Fırın 
Besleme</t>
  </si>
  <si>
    <t>Farin
(ton/saat)</t>
  </si>
  <si>
    <r>
      <t>Na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</si>
  <si>
    <t>Dansite
(g/L)</t>
  </si>
  <si>
    <t>KİMYASAL ANALİZ SONUÇLARI (%)</t>
  </si>
  <si>
    <t>SO3/Alkali</t>
  </si>
  <si>
    <t>BESLEME YÜZDELERİ (%)</t>
  </si>
  <si>
    <t>S.CaO
(%)</t>
  </si>
  <si>
    <t>İNCELİK</t>
  </si>
  <si>
    <t>TOPLAM</t>
  </si>
  <si>
    <t>Tarih               :</t>
  </si>
  <si>
    <t xml:space="preserve"> </t>
  </si>
  <si>
    <r>
      <t>C</t>
    </r>
    <r>
      <rPr>
        <b/>
        <vertAlign val="subscript"/>
        <sz val="10"/>
        <rFont val="Arial Tur"/>
        <charset val="162"/>
      </rPr>
      <t>3</t>
    </r>
    <r>
      <rPr>
        <b/>
        <sz val="10"/>
        <rFont val="Arial Tur"/>
        <charset val="162"/>
      </rPr>
      <t>S</t>
    </r>
  </si>
  <si>
    <t>Grit</t>
  </si>
  <si>
    <t>C3S</t>
  </si>
  <si>
    <t>C2S</t>
  </si>
  <si>
    <t>C3A</t>
  </si>
  <si>
    <t>C4AF</t>
  </si>
  <si>
    <t>C3S Hedefi</t>
  </si>
  <si>
    <t>NOTLAR</t>
  </si>
  <si>
    <t>SampleName</t>
  </si>
  <si>
    <t>Date</t>
  </si>
  <si>
    <t>Time</t>
  </si>
  <si>
    <t>R_wp</t>
  </si>
  <si>
    <t>Alum-cubic</t>
  </si>
  <si>
    <t>Alum-ortho</t>
  </si>
  <si>
    <t>Ferrite</t>
  </si>
  <si>
    <t>Freelime</t>
  </si>
  <si>
    <t>Portlandite</t>
  </si>
  <si>
    <t>fCaO-XRD</t>
  </si>
  <si>
    <t>Periclase</t>
  </si>
  <si>
    <t>Quartz</t>
  </si>
  <si>
    <t>Arcanite</t>
  </si>
  <si>
    <t>Langbeinite</t>
  </si>
  <si>
    <t>s.CaO</t>
  </si>
  <si>
    <t>Uçucu 
Kül (Devir)</t>
  </si>
  <si>
    <t>Calcite</t>
  </si>
  <si>
    <t>Dolomite</t>
  </si>
  <si>
    <t>Pyrite</t>
  </si>
  <si>
    <t>Illite</t>
  </si>
  <si>
    <t>Feldspar</t>
  </si>
  <si>
    <t>Chlorite</t>
  </si>
  <si>
    <t>Clinoptilolite</t>
  </si>
  <si>
    <r>
      <t>CaCO</t>
    </r>
    <r>
      <rPr>
        <b/>
        <vertAlign val="subscript"/>
        <sz val="11"/>
        <color indexed="10"/>
        <rFont val="Arial"/>
        <family val="2"/>
        <charset val="162"/>
      </rPr>
      <t>3</t>
    </r>
  </si>
  <si>
    <t>CaMg(CO3)2</t>
  </si>
  <si>
    <r>
      <t>SiO</t>
    </r>
    <r>
      <rPr>
        <b/>
        <vertAlign val="subscript"/>
        <sz val="11"/>
        <color indexed="10"/>
        <rFont val="Arial"/>
        <family val="2"/>
        <charset val="162"/>
      </rPr>
      <t>2</t>
    </r>
  </si>
  <si>
    <t>Çalışılan Farin Silosu</t>
  </si>
  <si>
    <r>
      <t>TiO</t>
    </r>
    <r>
      <rPr>
        <b/>
        <vertAlign val="subscript"/>
        <sz val="10"/>
        <rFont val="Arial Tur"/>
        <charset val="162"/>
      </rPr>
      <t xml:space="preserve">2 </t>
    </r>
  </si>
  <si>
    <r>
      <t>P2O</t>
    </r>
    <r>
      <rPr>
        <b/>
        <vertAlign val="subscript"/>
        <sz val="10"/>
        <rFont val="Arial Tur"/>
        <charset val="162"/>
      </rPr>
      <t>5</t>
    </r>
    <r>
      <rPr>
        <b/>
        <sz val="10"/>
        <rFont val="Arial Tur"/>
        <family val="2"/>
        <charset val="162"/>
      </rPr>
      <t xml:space="preserve"> </t>
    </r>
  </si>
  <si>
    <r>
      <t>Cr</t>
    </r>
    <r>
      <rPr>
        <b/>
        <vertAlign val="subscript"/>
        <sz val="10"/>
        <rFont val="Arial Tur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charset val="162"/>
      </rPr>
      <t>3</t>
    </r>
    <r>
      <rPr>
        <b/>
        <sz val="10"/>
        <rFont val="Arial Tur"/>
        <family val="2"/>
        <charset val="162"/>
      </rPr>
      <t xml:space="preserve"> </t>
    </r>
  </si>
  <si>
    <r>
      <t>Mn</t>
    </r>
    <r>
      <rPr>
        <b/>
        <vertAlign val="subscript"/>
        <sz val="10"/>
        <rFont val="Arial Tur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charset val="162"/>
      </rPr>
      <t xml:space="preserve">3 </t>
    </r>
  </si>
  <si>
    <t xml:space="preserve">ZnO </t>
  </si>
  <si>
    <t xml:space="preserve">SrO </t>
  </si>
  <si>
    <t xml:space="preserve">         </t>
  </si>
  <si>
    <t xml:space="preserve">Cl </t>
  </si>
  <si>
    <r>
      <t>Sıcaklık
(C</t>
    </r>
    <r>
      <rPr>
        <b/>
        <vertAlign val="superscript"/>
        <sz val="10"/>
        <rFont val="Arial Tur"/>
        <charset val="162"/>
      </rPr>
      <t>o</t>
    </r>
    <r>
      <rPr>
        <b/>
        <sz val="10"/>
        <rFont val="Arial Tur"/>
        <family val="2"/>
        <charset val="162"/>
      </rPr>
      <t>)</t>
    </r>
  </si>
  <si>
    <r>
      <t xml:space="preserve">Cl </t>
    </r>
    <r>
      <rPr>
        <b/>
        <vertAlign val="superscript"/>
        <sz val="10"/>
        <rFont val="Arial Tur"/>
        <charset val="162"/>
      </rPr>
      <t>-</t>
    </r>
  </si>
  <si>
    <t>Fırın Girişine Direkt Besleme</t>
  </si>
  <si>
    <t>Granül 
(Devir)</t>
  </si>
  <si>
    <t>.</t>
  </si>
  <si>
    <t>Fırına Beslenen Farin Silosu</t>
  </si>
  <si>
    <t>CaCO3</t>
  </si>
  <si>
    <t xml:space="preserve"> KALKER (Oyak) 10/40</t>
  </si>
  <si>
    <t>KALKER (Fabrika)</t>
  </si>
  <si>
    <t>ATY Ön Kalsinatör
(ton/saat)</t>
  </si>
  <si>
    <t>ATY Sinter
(ton/saat)</t>
  </si>
  <si>
    <t>Coating Factor</t>
  </si>
  <si>
    <t>http://www.bayar.edu.tr/besergil/15_BOLUM_12.pdf</t>
  </si>
  <si>
    <r>
      <t>Al</t>
    </r>
    <r>
      <rPr>
        <b/>
        <vertAlign val="subscript"/>
        <sz val="8"/>
        <rFont val="Arial TUR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family val="2"/>
        <charset val="162"/>
      </rPr>
      <t>3</t>
    </r>
  </si>
  <si>
    <t>200 m
 (%)</t>
  </si>
  <si>
    <t>90 m 
(%)</t>
  </si>
  <si>
    <t xml:space="preserve">                       </t>
  </si>
  <si>
    <t>Ucucu Kul</t>
  </si>
  <si>
    <t>Weber Tas Tozu</t>
  </si>
  <si>
    <t>Demir Cevheri / Pirit Kulu</t>
  </si>
  <si>
    <r>
      <t xml:space="preserve">90 </t>
    </r>
    <r>
      <rPr>
        <b/>
        <sz val="10"/>
        <rFont val="Symbol"/>
        <family val="1"/>
        <charset val="2"/>
      </rPr>
      <t>m</t>
    </r>
    <r>
      <rPr>
        <b/>
        <sz val="10"/>
        <rFont val="Arial Tur"/>
        <family val="2"/>
        <charset val="162"/>
      </rPr>
      <t xml:space="preserve"> (%)</t>
    </r>
  </si>
  <si>
    <r>
      <t xml:space="preserve">200 </t>
    </r>
    <r>
      <rPr>
        <b/>
        <sz val="10"/>
        <rFont val="Symbol"/>
        <family val="1"/>
        <charset val="2"/>
      </rPr>
      <t>m</t>
    </r>
    <r>
      <rPr>
        <b/>
        <sz val="10"/>
        <rFont val="Arial Tur"/>
        <family val="2"/>
        <charset val="162"/>
      </rPr>
      <t xml:space="preserve"> (%)</t>
    </r>
  </si>
  <si>
    <t>Sinter
(kg/saat)</t>
  </si>
  <si>
    <t>Ön Kalsinasyon
(kg/saat)</t>
  </si>
  <si>
    <t>HEDEF</t>
  </si>
  <si>
    <r>
      <t>C</t>
    </r>
    <r>
      <rPr>
        <b/>
        <vertAlign val="subscript"/>
        <sz val="10"/>
        <color indexed="8"/>
        <rFont val="Arial Tur"/>
        <family val="2"/>
        <charset val="162"/>
      </rPr>
      <t>3</t>
    </r>
    <r>
      <rPr>
        <b/>
        <sz val="10"/>
        <color indexed="8"/>
        <rFont val="Arial Tur"/>
        <family val="2"/>
        <charset val="162"/>
      </rPr>
      <t>S
Hedefi</t>
    </r>
  </si>
  <si>
    <r>
      <t>C</t>
    </r>
    <r>
      <rPr>
        <b/>
        <vertAlign val="subscript"/>
        <sz val="10"/>
        <color indexed="8"/>
        <rFont val="Arial Tur"/>
      </rPr>
      <t>3</t>
    </r>
    <r>
      <rPr>
        <b/>
        <sz val="10"/>
        <color indexed="8"/>
        <rFont val="Arial Tur"/>
      </rPr>
      <t>S
Hedefi</t>
    </r>
  </si>
  <si>
    <t xml:space="preserve">       </t>
  </si>
  <si>
    <t xml:space="preserve">   </t>
  </si>
  <si>
    <t xml:space="preserve">  </t>
  </si>
  <si>
    <r>
      <t>Ramos (C</t>
    </r>
    <r>
      <rPr>
        <b/>
        <vertAlign val="subscript"/>
        <sz val="10"/>
        <rFont val="Arial TUR"/>
        <family val="2"/>
        <charset val="162"/>
      </rPr>
      <t>3</t>
    </r>
    <r>
      <rPr>
        <b/>
        <sz val="10"/>
        <rFont val="Arial Tur"/>
        <family val="2"/>
        <charset val="162"/>
      </rPr>
      <t>S)</t>
    </r>
  </si>
  <si>
    <t>Ramos Analiz Adedi</t>
  </si>
  <si>
    <t xml:space="preserve"> TOPLAM</t>
  </si>
  <si>
    <t xml:space="preserve">NOTLAR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</si>
  <si>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</si>
  <si>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Numune Tipi   :Farin</t>
  </si>
  <si>
    <t>Numune Yeri   :Değirmen Çıkışı Farin</t>
  </si>
  <si>
    <t>N</t>
  </si>
  <si>
    <t>SS</t>
  </si>
  <si>
    <t>Ortalama</t>
  </si>
  <si>
    <t>Min.</t>
  </si>
  <si>
    <t>Maks.</t>
  </si>
  <si>
    <t>Numune Tipi   : Fırın Girişi Farin</t>
  </si>
  <si>
    <t>UI</t>
  </si>
  <si>
    <t>KFUI</t>
  </si>
  <si>
    <t>CKUI</t>
  </si>
  <si>
    <t xml:space="preserve">Numune Yeri   :F.Besleme Spot Numune Alıcı </t>
  </si>
  <si>
    <t>Numune Tipi   : Klinker</t>
  </si>
  <si>
    <t>Numune Yeri   :Soğutma Çıkışı Kovalı Bant</t>
  </si>
  <si>
    <t>%</t>
  </si>
  <si>
    <t>FD 4 Çıkışı</t>
  </si>
  <si>
    <t>FD 5 Çıkışı</t>
  </si>
  <si>
    <t>LOI</t>
  </si>
  <si>
    <t xml:space="preserve">LOI 
( Teorik) </t>
  </si>
  <si>
    <t>M1</t>
  </si>
  <si>
    <t>M3</t>
  </si>
  <si>
    <t xml:space="preserve"> Toplam C3S</t>
  </si>
  <si>
    <t>Beta</t>
  </si>
  <si>
    <t xml:space="preserve">Alfa </t>
  </si>
  <si>
    <t>Gama</t>
  </si>
  <si>
    <t>Toplam C2S</t>
  </si>
  <si>
    <t>Toplam C3A</t>
  </si>
  <si>
    <t>Aphthitalite</t>
  </si>
  <si>
    <t>HOUR</t>
  </si>
  <si>
    <t>DATE</t>
  </si>
  <si>
    <t>EMPTY</t>
  </si>
  <si>
    <t>ALOTAGNAME</t>
  </si>
  <si>
    <t>CAOTAGNAME</t>
  </si>
  <si>
    <t>Server :</t>
  </si>
  <si>
    <t>DATA_ARCHIVE</t>
  </si>
  <si>
    <t>SERVER</t>
  </si>
  <si>
    <t>Cannot convert 'Real value written' to type Single.</t>
  </si>
  <si>
    <t>Tag not found</t>
  </si>
  <si>
    <t>LOLOTAGNAME</t>
  </si>
  <si>
    <t>Real value written</t>
  </si>
  <si>
    <t>MGOTAGNAME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</si>
</sst>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0.0000"/>
    <numFmt numFmtId="166" formatCode="0.000"/>
    <numFmt numFmtId="167" formatCode="hh:mm;@"/>
    <numFmt numFmtId="168" formatCode="dd/mm/yyyy;@"/>
    <numFmt numFmtId="169" formatCode="[$-41F]d\ mmmm\ yyyy;@"/>
    <numFmt numFmtId="170" formatCode="[$-F400]h:mm:ss\ AM/PM"/>
  </numFmts>
  <fonts count="59">
    <font>
      <sz val="10"/>
      <name val="Arial"/>
    </font>
    <font>
      <sz val="10"/>
      <name val="Arial"/>
      <family val="2"/>
    </font>
    <font>
      <sz val="10"/>
      <name val="Arial Tur"/>
      <family val="2"/>
      <charset val="162"/>
    </font>
    <font>
      <u/>
      <sz val="7.5"/>
      <color indexed="12"/>
      <name val="Arial"/>
      <family val="2"/>
    </font>
    <font>
      <b/>
      <sz val="10"/>
      <name val="Arial Tur"/>
      <family val="2"/>
      <charset val="162"/>
    </font>
    <font>
      <b/>
      <vertAlign val="subscript"/>
      <sz val="10"/>
      <name val="Arial TUR"/>
      <family val="2"/>
      <charset val="162"/>
    </font>
    <font>
      <b/>
      <vertAlign val="subscript"/>
      <sz val="10"/>
      <name val="Arial Tur"/>
      <charset val="162"/>
    </font>
    <font>
      <b/>
      <vertAlign val="superscript"/>
      <sz val="10"/>
      <name val="Arial Tur"/>
      <charset val="162"/>
    </font>
    <font>
      <sz val="10"/>
      <color indexed="8"/>
      <name val="Arial"/>
      <family val="2"/>
    </font>
    <font>
      <sz val="10"/>
      <name val="Arial"/>
      <family val="2"/>
      <charset val="162"/>
    </font>
    <font>
      <b/>
      <sz val="10"/>
      <name val="Arial Tur"/>
      <charset val="162"/>
    </font>
    <font>
      <b/>
      <sz val="10"/>
      <color indexed="10"/>
      <name val="Arial Tur"/>
      <family val="2"/>
      <charset val="162"/>
    </font>
    <font>
      <b/>
      <sz val="10"/>
      <color indexed="8"/>
      <name val="Arial"/>
      <family val="2"/>
    </font>
    <font>
      <sz val="10"/>
      <color indexed="10"/>
      <name val="Arial Tur"/>
      <family val="2"/>
      <charset val="162"/>
    </font>
    <font>
      <b/>
      <sz val="10"/>
      <name val="Arial"/>
      <family val="2"/>
      <charset val="162"/>
    </font>
    <font>
      <b/>
      <sz val="11"/>
      <color indexed="10"/>
      <name val="Arial"/>
      <family val="2"/>
      <charset val="162"/>
    </font>
    <font>
      <b/>
      <sz val="10"/>
      <color indexed="10"/>
      <name val="Arial"/>
      <family val="2"/>
      <charset val="162"/>
    </font>
    <font>
      <b/>
      <vertAlign val="subscript"/>
      <sz val="11"/>
      <color indexed="10"/>
      <name val="Arial"/>
      <family val="2"/>
      <charset val="162"/>
    </font>
    <font>
      <b/>
      <sz val="10"/>
      <name val="Arial Tur"/>
    </font>
    <font>
      <sz val="10"/>
      <name val="Arial Tur"/>
      <charset val="162"/>
    </font>
    <font>
      <b/>
      <sz val="10"/>
      <name val="Arial"/>
      <family val="2"/>
    </font>
    <font>
      <b/>
      <sz val="12"/>
      <color indexed="10"/>
      <name val="Arial Tur"/>
      <charset val="162"/>
    </font>
    <font>
      <b/>
      <vertAlign val="subscript"/>
      <sz val="8"/>
      <name val="Arial TUR"/>
    </font>
    <font>
      <sz val="10"/>
      <color indexed="9"/>
      <name val="Arial Tur"/>
      <family val="2"/>
      <charset val="162"/>
    </font>
    <font>
      <sz val="8"/>
      <name val="Arial"/>
      <family val="2"/>
    </font>
    <font>
      <b/>
      <sz val="10"/>
      <name val="Symbol"/>
      <family val="1"/>
      <charset val="2"/>
    </font>
    <font>
      <b/>
      <sz val="10"/>
      <color indexed="8"/>
      <name val="Arial Tur"/>
      <family val="2"/>
      <charset val="162"/>
    </font>
    <font>
      <b/>
      <vertAlign val="subscript"/>
      <sz val="10"/>
      <color indexed="8"/>
      <name val="Arial Tur"/>
      <family val="2"/>
      <charset val="162"/>
    </font>
    <font>
      <b/>
      <sz val="10"/>
      <color indexed="8"/>
      <name val="Arial Tur"/>
    </font>
    <font>
      <b/>
      <vertAlign val="subscript"/>
      <sz val="10"/>
      <color indexed="8"/>
      <name val="Arial Tur"/>
    </font>
    <font>
      <sz val="10"/>
      <color indexed="9"/>
      <name val="Arial Tur"/>
      <family val="2"/>
      <charset val="162"/>
    </font>
    <font>
      <b/>
      <u/>
      <sz val="10"/>
      <color indexed="10"/>
      <name val="Arial Tur"/>
    </font>
    <font>
      <b/>
      <sz val="10"/>
      <color indexed="10"/>
      <name val="Arial Tur"/>
    </font>
    <font>
      <b/>
      <sz val="10"/>
      <color indexed="8"/>
      <name val="Arial Tur"/>
      <family val="2"/>
      <charset val="162"/>
    </font>
    <font>
      <sz val="10"/>
      <name val="Geneva"/>
    </font>
    <font>
      <sz val="11"/>
      <color indexed="8"/>
      <name val="Calibri"/>
      <family val="2"/>
      <charset val="162"/>
    </font>
    <font>
      <sz val="11"/>
      <color indexed="8"/>
      <name val="Calibri"/>
      <family val="2"/>
      <charset val="162"/>
    </font>
    <font>
      <b/>
      <u/>
      <sz val="10"/>
      <color indexed="10"/>
      <name val="Arial Tur"/>
      <charset val="162"/>
    </font>
    <font>
      <sz val="11"/>
      <color indexed="8"/>
      <name val="Calibri"/>
      <family val="2"/>
      <charset val="162"/>
    </font>
    <font>
      <b/>
      <sz val="9"/>
      <name val="Verdana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rgb="FFFA7D00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0"/>
      <color rgb="FF000000"/>
      <name val="Arial"/>
      <family val="2"/>
      <charset val="162"/>
    </font>
  </fonts>
  <fills count="5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10"/>
      </left>
      <right/>
      <top style="medium">
        <color indexed="10"/>
      </top>
      <bottom/>
      <diagonal/>
    </border>
    <border>
      <left/>
      <right style="medium">
        <color indexed="10"/>
      </right>
      <top style="medium">
        <color indexed="10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/>
      <bottom/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</borders>
  <cellStyleXfs count="77">
    <xf numFmtId="0" fontId="0" fillId="0" borderId="0"/>
    <xf numFmtId="0" fontId="40" fillId="19" borderId="0" applyNumberFormat="0" applyBorder="0" applyAlignment="0" applyProtection="0"/>
    <xf numFmtId="0" fontId="40" fillId="19" borderId="0" applyNumberFormat="0" applyBorder="0" applyAlignment="0" applyProtection="0"/>
    <xf numFmtId="0" fontId="40" fillId="2" borderId="0" applyNumberFormat="0" applyBorder="0" applyAlignment="0" applyProtection="0"/>
    <xf numFmtId="0" fontId="40" fillId="20" borderId="0" applyNumberFormat="0" applyBorder="0" applyAlignment="0" applyProtection="0"/>
    <xf numFmtId="0" fontId="40" fillId="20" borderId="0" applyNumberFormat="0" applyBorder="0" applyAlignment="0" applyProtection="0"/>
    <xf numFmtId="0" fontId="40" fillId="3" borderId="0" applyNumberFormat="0" applyBorder="0" applyAlignment="0" applyProtection="0"/>
    <xf numFmtId="0" fontId="40" fillId="21" borderId="0" applyNumberFormat="0" applyBorder="0" applyAlignment="0" applyProtection="0"/>
    <xf numFmtId="0" fontId="40" fillId="21" borderId="0" applyNumberFormat="0" applyBorder="0" applyAlignment="0" applyProtection="0"/>
    <xf numFmtId="0" fontId="40" fillId="4" borderId="0" applyNumberFormat="0" applyBorder="0" applyAlignment="0" applyProtection="0"/>
    <xf numFmtId="0" fontId="40" fillId="22" borderId="0" applyNumberFormat="0" applyBorder="0" applyAlignment="0" applyProtection="0"/>
    <xf numFmtId="0" fontId="40" fillId="22" borderId="0" applyNumberFormat="0" applyBorder="0" applyAlignment="0" applyProtection="0"/>
    <xf numFmtId="0" fontId="40" fillId="5" borderId="0" applyNumberFormat="0" applyBorder="0" applyAlignment="0" applyProtection="0"/>
    <xf numFmtId="0" fontId="40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6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6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7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8" borderId="0" applyNumberFormat="0" applyBorder="0" applyAlignment="0" applyProtection="0"/>
    <xf numFmtId="0" fontId="41" fillId="37" borderId="0" applyNumberFormat="0" applyBorder="0" applyAlignment="0" applyProtection="0"/>
    <xf numFmtId="0" fontId="41" fillId="38" borderId="0" applyNumberFormat="0" applyBorder="0" applyAlignment="0" applyProtection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42" borderId="0" applyNumberFormat="0" applyBorder="0" applyAlignment="0" applyProtection="0"/>
    <xf numFmtId="0" fontId="42" fillId="43" borderId="0" applyNumberFormat="0" applyBorder="0" applyAlignment="0" applyProtection="0"/>
    <xf numFmtId="0" fontId="43" fillId="44" borderId="78" applyNumberFormat="0" applyAlignment="0" applyProtection="0"/>
    <xf numFmtId="0" fontId="44" fillId="45" borderId="79" applyNumberFormat="0" applyAlignment="0" applyProtection="0"/>
    <xf numFmtId="0" fontId="45" fillId="0" borderId="0" applyNumberFormat="0" applyFill="0" applyBorder="0" applyAlignment="0" applyProtection="0"/>
    <xf numFmtId="0" fontId="46" fillId="46" borderId="0" applyNumberFormat="0" applyBorder="0" applyAlignment="0" applyProtection="0"/>
    <xf numFmtId="0" fontId="47" fillId="0" borderId="80" applyNumberFormat="0" applyFill="0" applyAlignment="0" applyProtection="0"/>
    <xf numFmtId="0" fontId="48" fillId="0" borderId="81" applyNumberFormat="0" applyFill="0" applyAlignment="0" applyProtection="0"/>
    <xf numFmtId="0" fontId="49" fillId="0" borderId="82" applyNumberFormat="0" applyFill="0" applyAlignment="0" applyProtection="0"/>
    <xf numFmtId="0" fontId="49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50" fillId="47" borderId="78" applyNumberFormat="0" applyAlignment="0" applyProtection="0"/>
    <xf numFmtId="0" fontId="51" fillId="0" borderId="83" applyNumberFormat="0" applyFill="0" applyAlignment="0" applyProtection="0"/>
    <xf numFmtId="0" fontId="52" fillId="48" borderId="0" applyNumberFormat="0" applyBorder="0" applyAlignment="0" applyProtection="0"/>
    <xf numFmtId="0" fontId="9" fillId="0" borderId="0"/>
    <xf numFmtId="0" fontId="34" fillId="0" borderId="0"/>
    <xf numFmtId="0" fontId="9" fillId="0" borderId="0"/>
    <xf numFmtId="0" fontId="40" fillId="0" borderId="0"/>
    <xf numFmtId="0" fontId="9" fillId="0" borderId="0"/>
    <xf numFmtId="0" fontId="9" fillId="0" borderId="0"/>
    <xf numFmtId="0" fontId="40" fillId="0" borderId="0"/>
    <xf numFmtId="0" fontId="53" fillId="0" borderId="0"/>
    <xf numFmtId="0" fontId="9" fillId="0" borderId="0"/>
    <xf numFmtId="0" fontId="9" fillId="0" borderId="0"/>
    <xf numFmtId="0" fontId="9" fillId="0" borderId="0"/>
    <xf numFmtId="0" fontId="36" fillId="49" borderId="84" applyNumberFormat="0" applyFont="0" applyAlignment="0" applyProtection="0"/>
    <xf numFmtId="0" fontId="35" fillId="49" borderId="84" applyNumberFormat="0" applyFont="0" applyAlignment="0" applyProtection="0"/>
    <xf numFmtId="0" fontId="35" fillId="49" borderId="84" applyNumberFormat="0" applyFont="0" applyAlignment="0" applyProtection="0"/>
    <xf numFmtId="0" fontId="35" fillId="49" borderId="84" applyNumberFormat="0" applyFont="0" applyAlignment="0" applyProtection="0"/>
    <xf numFmtId="0" fontId="35" fillId="49" borderId="84" applyNumberFormat="0" applyFont="0" applyAlignment="0" applyProtection="0"/>
    <xf numFmtId="0" fontId="36" fillId="49" borderId="84" applyNumberFormat="0" applyFont="0" applyAlignment="0" applyProtection="0"/>
    <xf numFmtId="0" fontId="38" fillId="49" borderId="84" applyNumberFormat="0" applyFont="0" applyAlignment="0" applyProtection="0"/>
    <xf numFmtId="0" fontId="40" fillId="49" borderId="84" applyNumberFormat="0" applyFont="0" applyAlignment="0" applyProtection="0"/>
    <xf numFmtId="0" fontId="54" fillId="44" borderId="85" applyNumberFormat="0" applyAlignment="0" applyProtection="0"/>
    <xf numFmtId="0" fontId="55" fillId="0" borderId="0" applyNumberFormat="0" applyFill="0" applyBorder="0" applyAlignment="0" applyProtection="0"/>
    <xf numFmtId="0" fontId="56" fillId="0" borderId="86" applyNumberFormat="0" applyFill="0" applyAlignment="0" applyProtection="0"/>
    <xf numFmtId="0" fontId="57" fillId="0" borderId="0" applyNumberFormat="0" applyFill="0" applyBorder="0" applyAlignment="0" applyProtection="0"/>
  </cellStyleXfs>
  <cellXfs count="443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14" fontId="2" fillId="9" borderId="1" xfId="0" applyNumberFormat="1" applyFont="1" applyFill="1" applyBorder="1" applyAlignment="1">
      <alignment horizontal="center" vertical="center"/>
    </xf>
    <xf numFmtId="20" fontId="2" fillId="9" borderId="1" xfId="0" applyNumberFormat="1" applyFont="1" applyFill="1" applyBorder="1" applyAlignment="1">
      <alignment horizontal="center" vertical="center"/>
    </xf>
    <xf numFmtId="14" fontId="2" fillId="10" borderId="1" xfId="0" applyNumberFormat="1" applyFont="1" applyFill="1" applyBorder="1" applyAlignment="1">
      <alignment horizontal="center" vertical="center"/>
    </xf>
    <xf numFmtId="20" fontId="2" fillId="10" borderId="1" xfId="0" applyNumberFormat="1" applyFont="1" applyFill="1" applyBorder="1" applyAlignment="1">
      <alignment horizontal="center" vertical="center"/>
    </xf>
    <xf numFmtId="14" fontId="2" fillId="10" borderId="2" xfId="0" applyNumberFormat="1" applyFont="1" applyFill="1" applyBorder="1" applyAlignment="1">
      <alignment horizontal="center" vertical="center"/>
    </xf>
    <xf numFmtId="20" fontId="2" fillId="10" borderId="2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4" fontId="2" fillId="0" borderId="3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164" fontId="2" fillId="0" borderId="6" xfId="0" applyNumberFormat="1" applyFont="1" applyFill="1" applyBorder="1" applyAlignment="1">
      <alignment horizontal="center" vertical="center"/>
    </xf>
    <xf numFmtId="164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1" fontId="2" fillId="0" borderId="9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1" fontId="2" fillId="0" borderId="7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164" fontId="2" fillId="0" borderId="10" xfId="0" applyNumberFormat="1" applyFont="1" applyFill="1" applyBorder="1" applyAlignment="1">
      <alignment horizontal="center" vertical="center"/>
    </xf>
    <xf numFmtId="164" fontId="2" fillId="0" borderId="11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4" fontId="4" fillId="0" borderId="15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" fontId="2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>
      <alignment vertical="center"/>
    </xf>
    <xf numFmtId="164" fontId="4" fillId="0" borderId="0" xfId="0" applyNumberFormat="1" applyFont="1" applyFill="1" applyBorder="1" applyAlignment="1">
      <alignment horizontal="center" vertical="center"/>
    </xf>
    <xf numFmtId="164" fontId="2" fillId="0" borderId="8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10" xfId="0" applyNumberFormat="1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 wrapText="1"/>
    </xf>
    <xf numFmtId="164" fontId="4" fillId="0" borderId="16" xfId="0" applyNumberFormat="1" applyFont="1" applyFill="1" applyBorder="1" applyAlignment="1">
      <alignment horizontal="center" vertical="center" wrapText="1"/>
    </xf>
    <xf numFmtId="164" fontId="4" fillId="0" borderId="15" xfId="0" applyNumberFormat="1" applyFont="1" applyFill="1" applyBorder="1" applyAlignment="1">
      <alignment horizontal="center" vertical="center" wrapText="1"/>
    </xf>
    <xf numFmtId="164" fontId="4" fillId="0" borderId="17" xfId="0" applyNumberFormat="1" applyFont="1" applyFill="1" applyBorder="1" applyAlignment="1">
      <alignment horizontal="center" vertical="center" wrapText="1"/>
    </xf>
    <xf numFmtId="164" fontId="4" fillId="0" borderId="18" xfId="0" applyNumberFormat="1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Continuous" vertical="center" wrapText="1"/>
    </xf>
    <xf numFmtId="164" fontId="4" fillId="0" borderId="13" xfId="0" applyNumberFormat="1" applyFont="1" applyFill="1" applyBorder="1" applyAlignment="1">
      <alignment horizontal="center" vertical="center" wrapText="1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20" xfId="0" applyNumberFormat="1" applyFont="1" applyFill="1" applyBorder="1" applyAlignment="1">
      <alignment horizontal="center" vertical="center"/>
    </xf>
    <xf numFmtId="2" fontId="2" fillId="0" borderId="21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164" fontId="4" fillId="11" borderId="14" xfId="0" applyNumberFormat="1" applyFont="1" applyFill="1" applyBorder="1" applyAlignment="1">
      <alignment horizontal="center" vertical="center" wrapText="1"/>
    </xf>
    <xf numFmtId="164" fontId="4" fillId="11" borderId="16" xfId="0" applyNumberFormat="1" applyFont="1" applyFill="1" applyBorder="1" applyAlignment="1">
      <alignment horizontal="center" vertical="center" wrapText="1"/>
    </xf>
    <xf numFmtId="2" fontId="2" fillId="11" borderId="6" xfId="0" applyNumberFormat="1" applyFont="1" applyFill="1" applyBorder="1" applyAlignment="1">
      <alignment horizontal="center" vertical="center"/>
    </xf>
    <xf numFmtId="164" fontId="4" fillId="11" borderId="15" xfId="0" applyNumberFormat="1" applyFont="1" applyFill="1" applyBorder="1" applyAlignment="1">
      <alignment horizontal="center" vertical="center" wrapText="1"/>
    </xf>
    <xf numFmtId="164" fontId="4" fillId="11" borderId="17" xfId="0" applyNumberFormat="1" applyFont="1" applyFill="1" applyBorder="1" applyAlignment="1">
      <alignment horizontal="center" vertical="center" wrapText="1"/>
    </xf>
    <xf numFmtId="2" fontId="8" fillId="11" borderId="22" xfId="0" applyNumberFormat="1" applyFont="1" applyFill="1" applyBorder="1" applyAlignment="1">
      <alignment horizontal="center"/>
    </xf>
    <xf numFmtId="2" fontId="2" fillId="0" borderId="23" xfId="0" applyNumberFormat="1" applyFont="1" applyFill="1" applyBorder="1" applyAlignment="1">
      <alignment horizontal="center" vertical="center"/>
    </xf>
    <xf numFmtId="2" fontId="2" fillId="0" borderId="24" xfId="0" applyNumberFormat="1" applyFont="1" applyFill="1" applyBorder="1" applyAlignment="1">
      <alignment horizontal="center" vertical="center"/>
    </xf>
    <xf numFmtId="164" fontId="4" fillId="11" borderId="25" xfId="0" applyNumberFormat="1" applyFont="1" applyFill="1" applyBorder="1" applyAlignment="1">
      <alignment horizontal="center" vertical="center" wrapText="1"/>
    </xf>
    <xf numFmtId="2" fontId="8" fillId="11" borderId="5" xfId="0" applyNumberFormat="1" applyFont="1" applyFill="1" applyBorder="1" applyAlignment="1">
      <alignment horizontal="center"/>
    </xf>
    <xf numFmtId="2" fontId="8" fillId="11" borderId="9" xfId="0" applyNumberFormat="1" applyFont="1" applyFill="1" applyBorder="1" applyAlignment="1">
      <alignment horizontal="center"/>
    </xf>
    <xf numFmtId="164" fontId="4" fillId="11" borderId="26" xfId="0" applyNumberFormat="1" applyFont="1" applyFill="1" applyBorder="1" applyAlignment="1">
      <alignment horizontal="center" vertical="center" wrapText="1"/>
    </xf>
    <xf numFmtId="2" fontId="8" fillId="11" borderId="12" xfId="0" applyNumberFormat="1" applyFont="1" applyFill="1" applyBorder="1" applyAlignment="1">
      <alignment horizontal="center"/>
    </xf>
    <xf numFmtId="164" fontId="2" fillId="12" borderId="0" xfId="0" applyNumberFormat="1" applyFont="1" applyFill="1" applyBorder="1" applyAlignment="1">
      <alignment vertical="center"/>
    </xf>
    <xf numFmtId="164" fontId="2" fillId="13" borderId="0" xfId="0" applyNumberFormat="1" applyFont="1" applyFill="1" applyBorder="1" applyAlignment="1">
      <alignment vertical="center"/>
    </xf>
    <xf numFmtId="2" fontId="10" fillId="11" borderId="6" xfId="0" applyNumberFormat="1" applyFont="1" applyFill="1" applyBorder="1" applyAlignment="1">
      <alignment horizontal="center" vertical="center"/>
    </xf>
    <xf numFmtId="2" fontId="10" fillId="11" borderId="10" xfId="0" applyNumberFormat="1" applyFont="1" applyFill="1" applyBorder="1" applyAlignment="1">
      <alignment horizontal="center" vertical="center"/>
    </xf>
    <xf numFmtId="164" fontId="10" fillId="11" borderId="14" xfId="0" applyNumberFormat="1" applyFont="1" applyFill="1" applyBorder="1" applyAlignment="1">
      <alignment horizontal="center" vertical="center" wrapText="1"/>
    </xf>
    <xf numFmtId="2" fontId="4" fillId="11" borderId="9" xfId="0" applyNumberFormat="1" applyFont="1" applyFill="1" applyBorder="1" applyAlignment="1">
      <alignment horizontal="center" vertical="center"/>
    </xf>
    <xf numFmtId="2" fontId="2" fillId="0" borderId="27" xfId="0" applyNumberFormat="1" applyFont="1" applyFill="1" applyBorder="1" applyAlignment="1">
      <alignment horizontal="center" vertical="center"/>
    </xf>
    <xf numFmtId="2" fontId="2" fillId="0" borderId="22" xfId="0" applyNumberFormat="1" applyFont="1" applyFill="1" applyBorder="1" applyAlignment="1">
      <alignment horizontal="center" vertical="center"/>
    </xf>
    <xf numFmtId="164" fontId="13" fillId="0" borderId="0" xfId="0" applyNumberFormat="1" applyFont="1" applyFill="1" applyBorder="1" applyAlignment="1">
      <alignment vertical="center"/>
    </xf>
    <xf numFmtId="0" fontId="11" fillId="0" borderId="0" xfId="0" applyFont="1" applyAlignment="1">
      <alignment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25" xfId="0" applyNumberFormat="1" applyFont="1" applyFill="1" applyBorder="1" applyAlignment="1">
      <alignment vertical="center"/>
    </xf>
    <xf numFmtId="1" fontId="2" fillId="0" borderId="25" xfId="0" applyNumberFormat="1" applyFont="1" applyFill="1" applyBorder="1" applyAlignment="1">
      <alignment vertical="center"/>
    </xf>
    <xf numFmtId="2" fontId="12" fillId="11" borderId="6" xfId="0" applyNumberFormat="1" applyFont="1" applyFill="1" applyBorder="1" applyAlignment="1">
      <alignment horizontal="center"/>
    </xf>
    <xf numFmtId="14" fontId="2" fillId="9" borderId="28" xfId="0" applyNumberFormat="1" applyFont="1" applyFill="1" applyBorder="1" applyAlignment="1">
      <alignment horizontal="center" vertical="center"/>
    </xf>
    <xf numFmtId="14" fontId="2" fillId="10" borderId="29" xfId="0" applyNumberFormat="1" applyFont="1" applyFill="1" applyBorder="1" applyAlignment="1">
      <alignment horizontal="center" vertical="center"/>
    </xf>
    <xf numFmtId="164" fontId="2" fillId="0" borderId="20" xfId="0" applyNumberFormat="1" applyFont="1" applyFill="1" applyBorder="1" applyAlignment="1">
      <alignment horizontal="center" vertical="center"/>
    </xf>
    <xf numFmtId="2" fontId="2" fillId="0" borderId="30" xfId="0" applyNumberFormat="1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>
      <alignment horizontal="center" vertical="center"/>
    </xf>
    <xf numFmtId="2" fontId="8" fillId="11" borderId="27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vertical="center"/>
    </xf>
    <xf numFmtId="164" fontId="4" fillId="14" borderId="13" xfId="0" applyNumberFormat="1" applyFont="1" applyFill="1" applyBorder="1" applyAlignment="1">
      <alignment horizontal="center" vertical="center" wrapText="1"/>
    </xf>
    <xf numFmtId="164" fontId="2" fillId="0" borderId="29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4" fontId="2" fillId="0" borderId="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2" fontId="15" fillId="0" borderId="0" xfId="0" applyNumberFormat="1" applyFont="1" applyAlignment="1">
      <alignment horizontal="center" vertical="center" wrapText="1"/>
    </xf>
    <xf numFmtId="2" fontId="16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 vertical="center"/>
    </xf>
    <xf numFmtId="0" fontId="14" fillId="0" borderId="5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164" fontId="4" fillId="15" borderId="1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164" fontId="2" fillId="0" borderId="28" xfId="0" applyNumberFormat="1" applyFont="1" applyFill="1" applyBorder="1" applyAlignment="1">
      <alignment horizontal="center" vertical="center"/>
    </xf>
    <xf numFmtId="164" fontId="4" fillId="12" borderId="16" xfId="0" applyNumberFormat="1" applyFont="1" applyFill="1" applyBorder="1" applyAlignment="1">
      <alignment horizontal="center" vertical="center" wrapText="1"/>
    </xf>
    <xf numFmtId="164" fontId="4" fillId="12" borderId="15" xfId="0" applyNumberFormat="1" applyFont="1" applyFill="1" applyBorder="1" applyAlignment="1">
      <alignment horizontal="center" vertical="center" wrapText="1"/>
    </xf>
    <xf numFmtId="0" fontId="14" fillId="0" borderId="2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" fillId="11" borderId="5" xfId="0" applyNumberFormat="1" applyFont="1" applyFill="1" applyBorder="1" applyAlignment="1">
      <alignment horizontal="center" vertical="center"/>
    </xf>
    <xf numFmtId="20" fontId="2" fillId="0" borderId="0" xfId="0" applyNumberFormat="1" applyFont="1" applyFill="1" applyAlignment="1">
      <alignment vertic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21" fontId="0" fillId="0" borderId="23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167" fontId="2" fillId="0" borderId="36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/>
    </xf>
    <xf numFmtId="169" fontId="2" fillId="0" borderId="5" xfId="0" applyNumberFormat="1" applyFont="1" applyFill="1" applyBorder="1" applyAlignment="1">
      <alignment horizontal="center" vertical="center"/>
    </xf>
    <xf numFmtId="169" fontId="0" fillId="0" borderId="9" xfId="0" applyNumberFormat="1" applyBorder="1" applyAlignment="1">
      <alignment horizontal="center"/>
    </xf>
    <xf numFmtId="169" fontId="0" fillId="0" borderId="12" xfId="0" applyNumberFormat="1" applyBorder="1" applyAlignment="1">
      <alignment horizontal="center"/>
    </xf>
    <xf numFmtId="21" fontId="0" fillId="0" borderId="24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2" fontId="9" fillId="12" borderId="6" xfId="0" applyNumberFormat="1" applyFont="1" applyFill="1" applyBorder="1" applyAlignment="1" applyProtection="1">
      <alignment horizontal="center"/>
      <protection locked="0"/>
    </xf>
    <xf numFmtId="164" fontId="4" fillId="0" borderId="33" xfId="0" applyNumberFormat="1" applyFont="1" applyFill="1" applyBorder="1" applyAlignment="1">
      <alignment horizontal="center" vertical="center" wrapText="1"/>
    </xf>
    <xf numFmtId="2" fontId="0" fillId="11" borderId="29" xfId="0" applyNumberFormat="1" applyFill="1" applyBorder="1" applyAlignment="1">
      <alignment horizontal="center"/>
    </xf>
    <xf numFmtId="2" fontId="0" fillId="11" borderId="38" xfId="0" applyNumberFormat="1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2" fontId="12" fillId="11" borderId="9" xfId="0" applyNumberFormat="1" applyFont="1" applyFill="1" applyBorder="1" applyAlignment="1">
      <alignment horizontal="center"/>
    </xf>
    <xf numFmtId="2" fontId="12" fillId="11" borderId="12" xfId="0" applyNumberFormat="1" applyFont="1" applyFill="1" applyBorder="1" applyAlignment="1">
      <alignment horizontal="center"/>
    </xf>
    <xf numFmtId="0" fontId="2" fillId="9" borderId="13" xfId="0" applyFont="1" applyFill="1" applyBorder="1" applyAlignment="1">
      <alignment vertical="center"/>
    </xf>
    <xf numFmtId="164" fontId="4" fillId="12" borderId="13" xfId="0" applyNumberFormat="1" applyFont="1" applyFill="1" applyBorder="1" applyAlignment="1">
      <alignment horizontal="center" vertical="center" wrapText="1"/>
    </xf>
    <xf numFmtId="2" fontId="2" fillId="0" borderId="29" xfId="0" applyNumberFormat="1" applyFont="1" applyFill="1" applyBorder="1" applyAlignment="1">
      <alignment horizontal="center" vertical="center"/>
    </xf>
    <xf numFmtId="0" fontId="2" fillId="0" borderId="6" xfId="0" applyFont="1" applyFill="1" applyBorder="1" applyAlignment="1">
      <alignment vertical="center"/>
    </xf>
    <xf numFmtId="169" fontId="2" fillId="0" borderId="9" xfId="0" applyNumberFormat="1" applyFont="1" applyFill="1" applyBorder="1" applyAlignment="1">
      <alignment vertical="center"/>
    </xf>
    <xf numFmtId="0" fontId="2" fillId="0" borderId="10" xfId="0" applyFont="1" applyFill="1" applyBorder="1" applyAlignment="1">
      <alignment vertical="center"/>
    </xf>
    <xf numFmtId="169" fontId="2" fillId="0" borderId="12" xfId="0" applyNumberFormat="1" applyFont="1" applyFill="1" applyBorder="1" applyAlignment="1">
      <alignment vertical="center"/>
    </xf>
    <xf numFmtId="170" fontId="2" fillId="0" borderId="23" xfId="0" applyNumberFormat="1" applyFont="1" applyFill="1" applyBorder="1" applyAlignment="1">
      <alignment horizontal="center" vertical="center"/>
    </xf>
    <xf numFmtId="0" fontId="14" fillId="0" borderId="36" xfId="0" applyFont="1" applyBorder="1" applyAlignment="1">
      <alignment horizontal="center"/>
    </xf>
    <xf numFmtId="0" fontId="14" fillId="0" borderId="39" xfId="0" applyFont="1" applyBorder="1" applyAlignment="1">
      <alignment horizontal="center"/>
    </xf>
    <xf numFmtId="0" fontId="14" fillId="0" borderId="40" xfId="0" applyFont="1" applyBorder="1" applyAlignment="1">
      <alignment horizontal="center"/>
    </xf>
    <xf numFmtId="0" fontId="2" fillId="0" borderId="35" xfId="0" applyFont="1" applyFill="1" applyBorder="1" applyAlignment="1">
      <alignment vertical="center"/>
    </xf>
    <xf numFmtId="2" fontId="2" fillId="0" borderId="40" xfId="0" applyNumberFormat="1" applyFont="1" applyFill="1" applyBorder="1" applyAlignment="1">
      <alignment horizontal="center" vertical="center"/>
    </xf>
    <xf numFmtId="0" fontId="16" fillId="0" borderId="41" xfId="0" applyFont="1" applyBorder="1" applyAlignment="1">
      <alignment horizontal="center" vertical="center"/>
    </xf>
    <xf numFmtId="0" fontId="15" fillId="0" borderId="41" xfId="0" applyFont="1" applyBorder="1" applyAlignment="1">
      <alignment horizontal="center" vertical="center" wrapText="1"/>
    </xf>
    <xf numFmtId="2" fontId="4" fillId="0" borderId="9" xfId="0" applyNumberFormat="1" applyFont="1" applyFill="1" applyBorder="1" applyAlignment="1">
      <alignment horizontal="center" vertical="center"/>
    </xf>
    <xf numFmtId="164" fontId="10" fillId="12" borderId="14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169" fontId="2" fillId="0" borderId="5" xfId="0" applyNumberFormat="1" applyFont="1" applyFill="1" applyBorder="1" applyAlignment="1">
      <alignment vertical="center"/>
    </xf>
    <xf numFmtId="164" fontId="2" fillId="0" borderId="9" xfId="0" applyNumberFormat="1" applyFont="1" applyFill="1" applyBorder="1" applyAlignment="1">
      <alignment horizontal="center" vertical="center"/>
    </xf>
    <xf numFmtId="164" fontId="4" fillId="0" borderId="42" xfId="0" applyNumberFormat="1" applyFont="1" applyFill="1" applyBorder="1" applyAlignment="1">
      <alignment horizontal="centerContinuous" vertical="center"/>
    </xf>
    <xf numFmtId="0" fontId="2" fillId="12" borderId="43" xfId="0" applyFont="1" applyFill="1" applyBorder="1" applyAlignment="1">
      <alignment horizontal="centerContinuous"/>
    </xf>
    <xf numFmtId="0" fontId="2" fillId="0" borderId="43" xfId="0" applyFont="1" applyFill="1" applyBorder="1" applyAlignment="1">
      <alignment horizontal="centerContinuous" vertical="center"/>
    </xf>
    <xf numFmtId="2" fontId="21" fillId="0" borderId="0" xfId="0" applyNumberFormat="1" applyFont="1" applyFill="1" applyBorder="1" applyAlignment="1">
      <alignment vertical="center"/>
    </xf>
    <xf numFmtId="2" fontId="18" fillId="12" borderId="7" xfId="0" applyNumberFormat="1" applyFont="1" applyFill="1" applyBorder="1" applyAlignment="1">
      <alignment horizontal="center" vertical="center"/>
    </xf>
    <xf numFmtId="164" fontId="2" fillId="0" borderId="38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2" fontId="0" fillId="11" borderId="2" xfId="0" applyNumberFormat="1" applyFill="1" applyBorder="1" applyAlignment="1">
      <alignment horizontal="center"/>
    </xf>
    <xf numFmtId="2" fontId="12" fillId="11" borderId="22" xfId="0" applyNumberFormat="1" applyFont="1" applyFill="1" applyBorder="1" applyAlignment="1">
      <alignment horizontal="center"/>
    </xf>
    <xf numFmtId="2" fontId="12" fillId="11" borderId="5" xfId="0" applyNumberFormat="1" applyFont="1" applyFill="1" applyBorder="1" applyAlignment="1">
      <alignment horizontal="center"/>
    </xf>
    <xf numFmtId="0" fontId="4" fillId="0" borderId="44" xfId="0" applyFont="1" applyBorder="1" applyAlignment="1">
      <alignment horizontal="center" vertical="center"/>
    </xf>
    <xf numFmtId="2" fontId="0" fillId="11" borderId="28" xfId="0" applyNumberForma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4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4" fontId="2" fillId="0" borderId="46" xfId="0" applyNumberFormat="1" applyFont="1" applyFill="1" applyBorder="1" applyAlignment="1">
      <alignment horizontal="center" vertical="center"/>
    </xf>
    <xf numFmtId="2" fontId="10" fillId="11" borderId="3" xfId="0" applyNumberFormat="1" applyFont="1" applyFill="1" applyBorder="1" applyAlignment="1">
      <alignment horizontal="center" vertical="center"/>
    </xf>
    <xf numFmtId="2" fontId="0" fillId="11" borderId="47" xfId="0" applyNumberFormat="1" applyFill="1" applyBorder="1" applyAlignment="1" applyProtection="1">
      <alignment horizontal="center"/>
    </xf>
    <xf numFmtId="2" fontId="0" fillId="11" borderId="48" xfId="0" applyNumberFormat="1" applyFill="1" applyBorder="1" applyAlignment="1" applyProtection="1">
      <alignment horizontal="center"/>
    </xf>
    <xf numFmtId="170" fontId="2" fillId="0" borderId="24" xfId="0" applyNumberFormat="1" applyFont="1" applyFill="1" applyBorder="1" applyAlignment="1">
      <alignment horizontal="center" vertical="center"/>
    </xf>
    <xf numFmtId="2" fontId="1" fillId="11" borderId="1" xfId="0" applyNumberFormat="1" applyFont="1" applyFill="1" applyBorder="1" applyAlignment="1">
      <alignment horizontal="center"/>
    </xf>
    <xf numFmtId="2" fontId="19" fillId="0" borderId="8" xfId="0" applyNumberFormat="1" applyFont="1" applyFill="1" applyBorder="1" applyAlignment="1">
      <alignment horizontal="center" vertical="center"/>
    </xf>
    <xf numFmtId="1" fontId="2" fillId="0" borderId="49" xfId="0" applyNumberFormat="1" applyFont="1" applyFill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2" fontId="10" fillId="11" borderId="50" xfId="0" applyNumberFormat="1" applyFont="1" applyFill="1" applyBorder="1" applyAlignment="1">
      <alignment horizontal="center" vertical="center"/>
    </xf>
    <xf numFmtId="1" fontId="2" fillId="0" borderId="5" xfId="0" applyNumberFormat="1" applyFont="1" applyFill="1" applyBorder="1" applyAlignment="1">
      <alignment horizontal="center" vertical="center"/>
    </xf>
    <xf numFmtId="2" fontId="0" fillId="11" borderId="51" xfId="0" applyNumberFormat="1" applyFill="1" applyBorder="1" applyAlignment="1" applyProtection="1">
      <alignment horizontal="center"/>
    </xf>
    <xf numFmtId="164" fontId="10" fillId="11" borderId="32" xfId="0" applyNumberFormat="1" applyFont="1" applyFill="1" applyBorder="1" applyAlignment="1">
      <alignment horizontal="center" vertical="center" wrapText="1"/>
    </xf>
    <xf numFmtId="164" fontId="4" fillId="11" borderId="33" xfId="0" applyNumberFormat="1" applyFont="1" applyFill="1" applyBorder="1" applyAlignment="1">
      <alignment horizontal="center" vertical="center" wrapText="1"/>
    </xf>
    <xf numFmtId="2" fontId="8" fillId="11" borderId="23" xfId="0" applyNumberFormat="1" applyFont="1" applyFill="1" applyBorder="1" applyAlignment="1">
      <alignment horizontal="center"/>
    </xf>
    <xf numFmtId="20" fontId="2" fillId="9" borderId="1" xfId="0" quotePrefix="1" applyNumberFormat="1" applyFont="1" applyFill="1" applyBorder="1" applyAlignment="1">
      <alignment horizontal="center" vertical="center"/>
    </xf>
    <xf numFmtId="2" fontId="14" fillId="11" borderId="20" xfId="0" applyNumberFormat="1" applyFont="1" applyFill="1" applyBorder="1" applyAlignment="1">
      <alignment horizontal="center"/>
    </xf>
    <xf numFmtId="2" fontId="14" fillId="11" borderId="19" xfId="0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 vertical="center"/>
    </xf>
    <xf numFmtId="2" fontId="12" fillId="11" borderId="27" xfId="0" applyNumberFormat="1" applyFont="1" applyFill="1" applyBorder="1" applyAlignment="1">
      <alignment horizontal="center"/>
    </xf>
    <xf numFmtId="164" fontId="2" fillId="0" borderId="19" xfId="0" applyNumberFormat="1" applyFont="1" applyFill="1" applyBorder="1" applyAlignment="1">
      <alignment horizontal="center" vertical="center"/>
    </xf>
    <xf numFmtId="164" fontId="3" fillId="0" borderId="0" xfId="50" applyNumberFormat="1" applyFill="1" applyBorder="1" applyAlignment="1" applyProtection="1">
      <alignment vertical="center"/>
    </xf>
    <xf numFmtId="2" fontId="2" fillId="0" borderId="52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" fontId="2" fillId="0" borderId="0" xfId="0" applyNumberFormat="1" applyFont="1" applyFill="1" applyAlignment="1">
      <alignment vertical="center"/>
    </xf>
    <xf numFmtId="164" fontId="4" fillId="15" borderId="18" xfId="0" applyNumberFormat="1" applyFont="1" applyFill="1" applyBorder="1" applyAlignment="1">
      <alignment horizontal="center" vertical="center" wrapText="1"/>
    </xf>
    <xf numFmtId="164" fontId="4" fillId="0" borderId="34" xfId="0" applyNumberFormat="1" applyFont="1" applyFill="1" applyBorder="1" applyAlignment="1">
      <alignment horizontal="centerContinuous" vertical="center"/>
    </xf>
    <xf numFmtId="170" fontId="2" fillId="0" borderId="9" xfId="0" applyNumberFormat="1" applyFont="1" applyFill="1" applyBorder="1" applyAlignment="1">
      <alignment horizontal="center" vertical="center"/>
    </xf>
    <xf numFmtId="2" fontId="1" fillId="11" borderId="29" xfId="0" applyNumberFormat="1" applyFont="1" applyFill="1" applyBorder="1" applyAlignment="1">
      <alignment horizontal="center"/>
    </xf>
    <xf numFmtId="2" fontId="10" fillId="11" borderId="35" xfId="0" applyNumberFormat="1" applyFont="1" applyFill="1" applyBorder="1" applyAlignment="1">
      <alignment horizontal="center" vertical="center"/>
    </xf>
    <xf numFmtId="2" fontId="0" fillId="0" borderId="23" xfId="0" applyNumberFormat="1" applyBorder="1" applyAlignment="1">
      <alignment horizontal="center"/>
    </xf>
    <xf numFmtId="164" fontId="4" fillId="0" borderId="53" xfId="0" applyNumberFormat="1" applyFont="1" applyFill="1" applyBorder="1" applyAlignment="1">
      <alignment horizontal="center" vertical="center" wrapText="1"/>
    </xf>
    <xf numFmtId="2" fontId="2" fillId="11" borderId="50" xfId="0" applyNumberFormat="1" applyFont="1" applyFill="1" applyBorder="1" applyAlignment="1">
      <alignment horizontal="center" vertical="center"/>
    </xf>
    <xf numFmtId="2" fontId="2" fillId="11" borderId="3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20" fontId="2" fillId="9" borderId="28" xfId="0" applyNumberFormat="1" applyFont="1" applyFill="1" applyBorder="1" applyAlignment="1">
      <alignment horizontal="center" vertical="center"/>
    </xf>
    <xf numFmtId="2" fontId="14" fillId="11" borderId="46" xfId="0" applyNumberFormat="1" applyFont="1" applyFill="1" applyBorder="1" applyAlignment="1">
      <alignment horizontal="center"/>
    </xf>
    <xf numFmtId="20" fontId="2" fillId="10" borderId="29" xfId="0" applyNumberFormat="1" applyFont="1" applyFill="1" applyBorder="1" applyAlignment="1">
      <alignment horizontal="center" vertical="center"/>
    </xf>
    <xf numFmtId="1" fontId="2" fillId="0" borderId="4" xfId="0" applyNumberFormat="1" applyFont="1" applyFill="1" applyBorder="1" applyAlignment="1">
      <alignment horizontal="center" vertical="center"/>
    </xf>
    <xf numFmtId="2" fontId="8" fillId="11" borderId="36" xfId="0" applyNumberFormat="1" applyFont="1" applyFill="1" applyBorder="1" applyAlignment="1">
      <alignment horizontal="center"/>
    </xf>
    <xf numFmtId="2" fontId="0" fillId="0" borderId="0" xfId="0" applyNumberFormat="1"/>
    <xf numFmtId="22" fontId="0" fillId="0" borderId="0" xfId="0" applyNumberFormat="1"/>
    <xf numFmtId="0" fontId="2" fillId="0" borderId="54" xfId="0" applyFont="1" applyBorder="1" applyAlignment="1">
      <alignment vertical="center"/>
    </xf>
    <xf numFmtId="0" fontId="2" fillId="0" borderId="55" xfId="0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2" fontId="18" fillId="0" borderId="11" xfId="0" applyNumberFormat="1" applyFont="1" applyFill="1" applyBorder="1" applyAlignment="1">
      <alignment horizontal="center" vertical="center"/>
    </xf>
    <xf numFmtId="0" fontId="11" fillId="0" borderId="41" xfId="0" applyFont="1" applyBorder="1" applyAlignment="1">
      <alignment vertical="center"/>
    </xf>
    <xf numFmtId="0" fontId="4" fillId="16" borderId="25" xfId="0" applyFont="1" applyFill="1" applyBorder="1" applyAlignment="1">
      <alignment vertical="center"/>
    </xf>
    <xf numFmtId="2" fontId="2" fillId="17" borderId="4" xfId="0" applyNumberFormat="1" applyFont="1" applyFill="1" applyBorder="1" applyAlignment="1">
      <alignment horizontal="center" vertical="center"/>
    </xf>
    <xf numFmtId="2" fontId="2" fillId="17" borderId="7" xfId="0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vertical="center"/>
    </xf>
    <xf numFmtId="166" fontId="2" fillId="0" borderId="9" xfId="0" applyNumberFormat="1" applyFont="1" applyFill="1" applyBorder="1" applyAlignment="1">
      <alignment horizontal="center" vertical="center"/>
    </xf>
    <xf numFmtId="0" fontId="2" fillId="0" borderId="56" xfId="0" applyFont="1" applyFill="1" applyBorder="1" applyAlignment="1">
      <alignment vertical="center"/>
    </xf>
    <xf numFmtId="164" fontId="4" fillId="0" borderId="41" xfId="0" applyNumberFormat="1" applyFont="1" applyFill="1" applyBorder="1" applyAlignment="1">
      <alignment horizontal="centerContinuous" vertical="center"/>
    </xf>
    <xf numFmtId="0" fontId="2" fillId="12" borderId="41" xfId="0" applyFont="1" applyFill="1" applyBorder="1" applyAlignment="1">
      <alignment horizontal="centerContinuous"/>
    </xf>
    <xf numFmtId="0" fontId="2" fillId="12" borderId="56" xfId="0" applyFont="1" applyFill="1" applyBorder="1" applyAlignment="1">
      <alignment horizontal="centerContinuous"/>
    </xf>
    <xf numFmtId="0" fontId="2" fillId="0" borderId="54" xfId="0" applyFont="1" applyFill="1" applyBorder="1" applyAlignment="1">
      <alignment vertical="center"/>
    </xf>
    <xf numFmtId="2" fontId="18" fillId="0" borderId="9" xfId="0" applyNumberFormat="1" applyFont="1" applyFill="1" applyBorder="1" applyAlignment="1">
      <alignment horizontal="center" vertical="center"/>
    </xf>
    <xf numFmtId="164" fontId="4" fillId="12" borderId="14" xfId="0" applyNumberFormat="1" applyFont="1" applyFill="1" applyBorder="1" applyAlignment="1">
      <alignment horizontal="center" vertical="center" wrapText="1"/>
    </xf>
    <xf numFmtId="164" fontId="4" fillId="12" borderId="32" xfId="0" applyNumberFormat="1" applyFont="1" applyFill="1" applyBorder="1" applyAlignment="1">
      <alignment horizontal="center" vertical="center" wrapText="1"/>
    </xf>
    <xf numFmtId="164" fontId="4" fillId="12" borderId="33" xfId="0" applyNumberFormat="1" applyFont="1" applyFill="1" applyBorder="1" applyAlignment="1">
      <alignment horizontal="center" vertical="center" wrapText="1"/>
    </xf>
    <xf numFmtId="2" fontId="0" fillId="11" borderId="57" xfId="0" applyNumberFormat="1" applyFill="1" applyBorder="1" applyAlignment="1" applyProtection="1">
      <alignment horizontal="center"/>
    </xf>
    <xf numFmtId="2" fontId="1" fillId="11" borderId="2" xfId="0" applyNumberFormat="1" applyFont="1" applyFill="1" applyBorder="1" applyAlignment="1">
      <alignment horizontal="center"/>
    </xf>
    <xf numFmtId="2" fontId="4" fillId="11" borderId="12" xfId="0" applyNumberFormat="1" applyFont="1" applyFill="1" applyBorder="1" applyAlignment="1">
      <alignment horizontal="center" vertical="center"/>
    </xf>
    <xf numFmtId="2" fontId="2" fillId="12" borderId="36" xfId="0" applyNumberFormat="1" applyFont="1" applyFill="1" applyBorder="1" applyAlignment="1">
      <alignment horizontal="center" vertical="center"/>
    </xf>
    <xf numFmtId="2" fontId="2" fillId="12" borderId="58" xfId="0" applyNumberFormat="1" applyFont="1" applyFill="1" applyBorder="1" applyAlignment="1">
      <alignment horizontal="center" vertical="center"/>
    </xf>
    <xf numFmtId="2" fontId="2" fillId="12" borderId="59" xfId="0" applyNumberFormat="1" applyFont="1" applyFill="1" applyBorder="1" applyAlignment="1">
      <alignment horizontal="center" vertical="center"/>
    </xf>
    <xf numFmtId="2" fontId="2" fillId="12" borderId="60" xfId="0" applyNumberFormat="1" applyFont="1" applyFill="1" applyBorder="1" applyAlignment="1">
      <alignment horizontal="center" vertical="center"/>
    </xf>
    <xf numFmtId="2" fontId="12" fillId="11" borderId="8" xfId="0" applyNumberFormat="1" applyFon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18" fillId="12" borderId="30" xfId="0" applyNumberFormat="1" applyFont="1" applyFill="1" applyBorder="1" applyAlignment="1">
      <alignment horizontal="center" vertical="center"/>
    </xf>
    <xf numFmtId="2" fontId="18" fillId="12" borderId="11" xfId="0" applyNumberFormat="1" applyFont="1" applyFill="1" applyBorder="1" applyAlignment="1">
      <alignment horizontal="center" vertical="center"/>
    </xf>
    <xf numFmtId="14" fontId="2" fillId="9" borderId="38" xfId="0" applyNumberFormat="1" applyFont="1" applyFill="1" applyBorder="1" applyAlignment="1">
      <alignment horizontal="center" vertical="center"/>
    </xf>
    <xf numFmtId="20" fontId="2" fillId="9" borderId="29" xfId="0" quotePrefix="1" applyNumberFormat="1" applyFont="1" applyFill="1" applyBorder="1" applyAlignment="1">
      <alignment horizontal="center" vertical="center"/>
    </xf>
    <xf numFmtId="14" fontId="2" fillId="9" borderId="2" xfId="0" applyNumberFormat="1" applyFont="1" applyFill="1" applyBorder="1" applyAlignment="1">
      <alignment horizontal="center" vertical="center"/>
    </xf>
    <xf numFmtId="20" fontId="2" fillId="9" borderId="2" xfId="0" applyNumberFormat="1" applyFont="1" applyFill="1" applyBorder="1" applyAlignment="1">
      <alignment horizontal="center" vertical="center"/>
    </xf>
    <xf numFmtId="2" fontId="19" fillId="0" borderId="48" xfId="0" applyNumberFormat="1" applyFont="1" applyFill="1" applyBorder="1" applyAlignment="1">
      <alignment horizontal="center" vertical="center"/>
    </xf>
    <xf numFmtId="2" fontId="19" fillId="0" borderId="51" xfId="0" applyNumberFormat="1" applyFont="1" applyFill="1" applyBorder="1" applyAlignment="1">
      <alignment horizontal="center" vertical="center"/>
    </xf>
    <xf numFmtId="0" fontId="2" fillId="0" borderId="61" xfId="0" applyFont="1" applyFill="1" applyBorder="1" applyAlignment="1">
      <alignment horizontal="center" vertical="center"/>
    </xf>
    <xf numFmtId="1" fontId="2" fillId="0" borderId="22" xfId="0" applyNumberFormat="1" applyFont="1" applyFill="1" applyBorder="1" applyAlignment="1">
      <alignment horizontal="center" vertical="center"/>
    </xf>
    <xf numFmtId="1" fontId="2" fillId="0" borderId="12" xfId="0" applyNumberFormat="1" applyFont="1" applyFill="1" applyBorder="1" applyAlignment="1">
      <alignment horizontal="center" vertical="center"/>
    </xf>
    <xf numFmtId="164" fontId="4" fillId="0" borderId="32" xfId="0" applyNumberFormat="1" applyFont="1" applyFill="1" applyBorder="1" applyAlignment="1">
      <alignment horizontal="centerContinuous" vertical="center" wrapText="1"/>
    </xf>
    <xf numFmtId="164" fontId="4" fillId="0" borderId="33" xfId="0" applyNumberFormat="1" applyFont="1" applyFill="1" applyBorder="1" applyAlignment="1">
      <alignment horizontal="centerContinuous" vertical="center"/>
    </xf>
    <xf numFmtId="2" fontId="2" fillId="12" borderId="7" xfId="0" applyNumberFormat="1" applyFont="1" applyFill="1" applyBorder="1" applyAlignment="1">
      <alignment horizontal="center" vertical="center"/>
    </xf>
    <xf numFmtId="2" fontId="23" fillId="12" borderId="7" xfId="0" applyNumberFormat="1" applyFont="1" applyFill="1" applyBorder="1" applyAlignment="1">
      <alignment horizontal="center" vertical="center"/>
    </xf>
    <xf numFmtId="2" fontId="2" fillId="12" borderId="11" xfId="0" applyNumberFormat="1" applyFont="1" applyFill="1" applyBorder="1" applyAlignment="1">
      <alignment horizontal="center" vertical="center"/>
    </xf>
    <xf numFmtId="20" fontId="2" fillId="10" borderId="47" xfId="0" applyNumberFormat="1" applyFont="1" applyFill="1" applyBorder="1" applyAlignment="1">
      <alignment horizontal="center" vertical="center"/>
    </xf>
    <xf numFmtId="20" fontId="2" fillId="10" borderId="48" xfId="0" applyNumberFormat="1" applyFont="1" applyFill="1" applyBorder="1" applyAlignment="1">
      <alignment horizontal="center" vertical="center"/>
    </xf>
    <xf numFmtId="20" fontId="2" fillId="10" borderId="57" xfId="0" applyNumberFormat="1" applyFont="1" applyFill="1" applyBorder="1" applyAlignment="1">
      <alignment horizontal="center" vertical="center"/>
    </xf>
    <xf numFmtId="164" fontId="2" fillId="0" borderId="48" xfId="0" applyNumberFormat="1" applyFont="1" applyFill="1" applyBorder="1" applyAlignment="1">
      <alignment horizontal="center" vertical="center"/>
    </xf>
    <xf numFmtId="164" fontId="2" fillId="0" borderId="57" xfId="0" applyNumberFormat="1" applyFont="1" applyFill="1" applyBorder="1" applyAlignment="1">
      <alignment horizontal="center" vertical="center"/>
    </xf>
    <xf numFmtId="164" fontId="2" fillId="0" borderId="51" xfId="0" applyNumberFormat="1" applyFont="1" applyFill="1" applyBorder="1" applyAlignment="1">
      <alignment horizontal="center" vertical="center"/>
    </xf>
    <xf numFmtId="164" fontId="2" fillId="0" borderId="30" xfId="0" applyNumberFormat="1" applyFont="1" applyFill="1" applyBorder="1" applyAlignment="1">
      <alignment horizontal="center" vertical="center"/>
    </xf>
    <xf numFmtId="0" fontId="0" fillId="0" borderId="0" xfId="0" applyBorder="1"/>
    <xf numFmtId="0" fontId="14" fillId="0" borderId="50" xfId="0" applyFont="1" applyBorder="1" applyAlignment="1">
      <alignment horizontal="center"/>
    </xf>
    <xf numFmtId="169" fontId="2" fillId="0" borderId="27" xfId="0" applyNumberFormat="1" applyFont="1" applyFill="1" applyBorder="1" applyAlignment="1">
      <alignment vertical="center"/>
    </xf>
    <xf numFmtId="170" fontId="2" fillId="0" borderId="52" xfId="0" applyNumberFormat="1" applyFont="1" applyFill="1" applyBorder="1" applyAlignment="1">
      <alignment horizontal="center" vertical="center"/>
    </xf>
    <xf numFmtId="2" fontId="2" fillId="0" borderId="62" xfId="0" applyNumberFormat="1" applyFont="1" applyFill="1" applyBorder="1" applyAlignment="1">
      <alignment horizontal="center" vertical="center"/>
    </xf>
    <xf numFmtId="170" fontId="2" fillId="0" borderId="5" xfId="0" applyNumberFormat="1" applyFont="1" applyFill="1" applyBorder="1" applyAlignment="1">
      <alignment horizontal="center" vertical="center"/>
    </xf>
    <xf numFmtId="170" fontId="2" fillId="0" borderId="12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Continuous" vertical="center"/>
    </xf>
    <xf numFmtId="1" fontId="4" fillId="0" borderId="16" xfId="0" applyNumberFormat="1" applyFont="1" applyFill="1" applyBorder="1" applyAlignment="1">
      <alignment horizontal="center" vertical="center" wrapText="1"/>
    </xf>
    <xf numFmtId="164" fontId="2" fillId="0" borderId="21" xfId="0" applyNumberFormat="1" applyFont="1" applyFill="1" applyBorder="1" applyAlignment="1">
      <alignment horizontal="center" vertical="center"/>
    </xf>
    <xf numFmtId="2" fontId="12" fillId="11" borderId="40" xfId="0" applyNumberFormat="1" applyFont="1" applyFill="1" applyBorder="1" applyAlignment="1">
      <alignment horizontal="center"/>
    </xf>
    <xf numFmtId="2" fontId="8" fillId="11" borderId="39" xfId="0" applyNumberFormat="1" applyFont="1" applyFill="1" applyBorder="1" applyAlignment="1">
      <alignment horizontal="center"/>
    </xf>
    <xf numFmtId="2" fontId="10" fillId="0" borderId="12" xfId="0" applyNumberFormat="1" applyFon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30" fillId="0" borderId="9" xfId="0" applyNumberFormat="1" applyFont="1" applyFill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18" fillId="0" borderId="1" xfId="0" applyNumberFormat="1" applyFont="1" applyFill="1" applyBorder="1" applyAlignment="1">
      <alignment horizontal="center" vertical="center"/>
    </xf>
    <xf numFmtId="2" fontId="20" fillId="12" borderId="29" xfId="0" applyNumberFormat="1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1" fillId="0" borderId="0" xfId="0" applyFont="1" applyBorder="1" applyAlignment="1">
      <alignment vertical="center"/>
    </xf>
    <xf numFmtId="14" fontId="10" fillId="16" borderId="25" xfId="0" applyNumberFormat="1" applyFont="1" applyFill="1" applyBorder="1" applyAlignment="1" applyProtection="1">
      <alignment horizontal="center" vertical="center"/>
    </xf>
    <xf numFmtId="164" fontId="0" fillId="0" borderId="6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2" fillId="0" borderId="63" xfId="0" applyFont="1" applyFill="1" applyBorder="1" applyAlignment="1">
      <alignment vertical="center"/>
    </xf>
    <xf numFmtId="164" fontId="0" fillId="0" borderId="35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2" fontId="18" fillId="0" borderId="12" xfId="0" applyNumberFormat="1" applyFont="1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164" fontId="4" fillId="11" borderId="61" xfId="0" applyNumberFormat="1" applyFont="1" applyFill="1" applyBorder="1" applyAlignment="1">
      <alignment horizontal="center" vertical="center" wrapText="1"/>
    </xf>
    <xf numFmtId="2" fontId="32" fillId="18" borderId="64" xfId="0" applyNumberFormat="1" applyFont="1" applyFill="1" applyBorder="1" applyAlignment="1">
      <alignment horizontal="center" vertical="center"/>
    </xf>
    <xf numFmtId="164" fontId="33" fillId="16" borderId="13" xfId="0" applyNumberFormat="1" applyFont="1" applyFill="1" applyBorder="1" applyAlignment="1">
      <alignment horizontal="center" vertical="center" wrapText="1"/>
    </xf>
    <xf numFmtId="164" fontId="33" fillId="16" borderId="1" xfId="0" applyNumberFormat="1" applyFont="1" applyFill="1" applyBorder="1" applyAlignment="1">
      <alignment horizontal="center" vertical="center" wrapText="1"/>
    </xf>
    <xf numFmtId="164" fontId="33" fillId="16" borderId="29" xfId="0" applyNumberFormat="1" applyFont="1" applyFill="1" applyBorder="1" applyAlignment="1">
      <alignment horizontal="center" vertical="center" wrapText="1"/>
    </xf>
    <xf numFmtId="164" fontId="33" fillId="16" borderId="38" xfId="0" applyNumberFormat="1" applyFont="1" applyFill="1" applyBorder="1" applyAlignment="1">
      <alignment horizontal="center" vertical="center" wrapText="1"/>
    </xf>
    <xf numFmtId="1" fontId="2" fillId="0" borderId="9" xfId="57" applyNumberFormat="1" applyFont="1" applyFill="1" applyBorder="1" applyAlignment="1">
      <alignment horizontal="center" vertical="center"/>
    </xf>
    <xf numFmtId="1" fontId="2" fillId="0" borderId="7" xfId="57" applyNumberFormat="1" applyFont="1" applyFill="1" applyBorder="1" applyAlignment="1">
      <alignment horizontal="center" vertical="center"/>
    </xf>
    <xf numFmtId="2" fontId="19" fillId="0" borderId="8" xfId="57" applyNumberFormat="1" applyFont="1" applyFill="1" applyBorder="1" applyAlignment="1">
      <alignment horizontal="center" vertical="center"/>
    </xf>
    <xf numFmtId="2" fontId="4" fillId="0" borderId="27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vertical="center"/>
    </xf>
    <xf numFmtId="2" fontId="18" fillId="0" borderId="2" xfId="0" applyNumberFormat="1" applyFont="1" applyFill="1" applyBorder="1" applyAlignment="1">
      <alignment horizontal="center" vertical="center"/>
    </xf>
    <xf numFmtId="164" fontId="2" fillId="0" borderId="12" xfId="0" applyNumberFormat="1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>
      <alignment horizontal="center" vertical="center"/>
    </xf>
    <xf numFmtId="2" fontId="9" fillId="12" borderId="9" xfId="0" applyNumberFormat="1" applyFont="1" applyFill="1" applyBorder="1" applyAlignment="1" applyProtection="1">
      <alignment horizontal="center"/>
      <protection locked="0"/>
    </xf>
    <xf numFmtId="2" fontId="9" fillId="0" borderId="9" xfId="0" applyNumberFormat="1" applyFont="1" applyBorder="1" applyAlignment="1">
      <alignment horizontal="center"/>
    </xf>
    <xf numFmtId="0" fontId="40" fillId="0" borderId="0" xfId="57"/>
    <xf numFmtId="21" fontId="40" fillId="0" borderId="0" xfId="57" applyNumberFormat="1"/>
    <xf numFmtId="1" fontId="2" fillId="0" borderId="28" xfId="0" applyNumberFormat="1" applyFont="1" applyFill="1" applyBorder="1" applyAlignment="1">
      <alignment horizontal="center" vertical="center"/>
    </xf>
    <xf numFmtId="2" fontId="18" fillId="0" borderId="48" xfId="0" applyNumberFormat="1" applyFont="1" applyFill="1" applyBorder="1" applyAlignment="1">
      <alignment horizontal="center" vertical="center"/>
    </xf>
    <xf numFmtId="164" fontId="2" fillId="0" borderId="27" xfId="0" applyNumberFormat="1" applyFont="1" applyFill="1" applyBorder="1" applyAlignment="1">
      <alignment horizontal="center" vertical="center"/>
    </xf>
    <xf numFmtId="2" fontId="20" fillId="12" borderId="47" xfId="0" applyNumberFormat="1" applyFont="1" applyFill="1" applyBorder="1" applyAlignment="1">
      <alignment horizontal="center"/>
    </xf>
    <xf numFmtId="164" fontId="4" fillId="11" borderId="45" xfId="0" applyNumberFormat="1" applyFont="1" applyFill="1" applyBorder="1" applyAlignment="1">
      <alignment horizontal="center" vertical="center" wrapText="1"/>
    </xf>
    <xf numFmtId="2" fontId="14" fillId="11" borderId="65" xfId="0" applyNumberFormat="1" applyFont="1" applyFill="1" applyBorder="1" applyAlignment="1">
      <alignment horizontal="center"/>
    </xf>
    <xf numFmtId="2" fontId="8" fillId="11" borderId="52" xfId="0" applyNumberFormat="1" applyFont="1" applyFill="1" applyBorder="1" applyAlignment="1">
      <alignment horizontal="center"/>
    </xf>
    <xf numFmtId="2" fontId="12" fillId="11" borderId="62" xfId="0" applyNumberFormat="1" applyFont="1" applyFill="1" applyBorder="1" applyAlignment="1">
      <alignment horizontal="center"/>
    </xf>
    <xf numFmtId="0" fontId="1" fillId="0" borderId="6" xfId="0" applyFont="1" applyBorder="1" applyAlignment="1"/>
    <xf numFmtId="0" fontId="2" fillId="0" borderId="7" xfId="0" applyFont="1" applyFill="1" applyBorder="1" applyAlignment="1">
      <alignment horizontal="center" vertical="center"/>
    </xf>
    <xf numFmtId="2" fontId="9" fillId="0" borderId="0" xfId="0" applyNumberFormat="1" applyFont="1"/>
    <xf numFmtId="1" fontId="2" fillId="0" borderId="2" xfId="0" applyNumberFormat="1" applyFont="1" applyFill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/>
    </xf>
    <xf numFmtId="2" fontId="2" fillId="0" borderId="66" xfId="0" applyNumberFormat="1" applyFont="1" applyFill="1" applyBorder="1" applyAlignment="1">
      <alignment horizontal="center" vertical="center"/>
    </xf>
    <xf numFmtId="2" fontId="1" fillId="11" borderId="38" xfId="0" applyNumberFormat="1" applyFont="1" applyFill="1" applyBorder="1" applyAlignment="1">
      <alignment horizontal="center"/>
    </xf>
    <xf numFmtId="0" fontId="2" fillId="0" borderId="9" xfId="0" applyNumberFormat="1" applyFont="1" applyFill="1" applyBorder="1" applyAlignment="1">
      <alignment horizontal="center" vertical="center"/>
    </xf>
    <xf numFmtId="164" fontId="4" fillId="11" borderId="66" xfId="0" applyNumberFormat="1" applyFont="1" applyFill="1" applyBorder="1" applyAlignment="1">
      <alignment horizontal="center" vertical="center" wrapText="1"/>
    </xf>
    <xf numFmtId="164" fontId="4" fillId="11" borderId="43" xfId="0" applyNumberFormat="1" applyFont="1" applyFill="1" applyBorder="1" applyAlignment="1">
      <alignment horizontal="center" vertical="center" wrapText="1"/>
    </xf>
    <xf numFmtId="164" fontId="33" fillId="16" borderId="66" xfId="0" applyNumberFormat="1" applyFont="1" applyFill="1" applyBorder="1" applyAlignment="1">
      <alignment horizontal="center" vertical="center" wrapText="1"/>
    </xf>
    <xf numFmtId="2" fontId="0" fillId="11" borderId="67" xfId="0" applyNumberFormat="1" applyFill="1" applyBorder="1" applyAlignment="1" applyProtection="1">
      <alignment horizontal="center"/>
    </xf>
    <xf numFmtId="2" fontId="4" fillId="11" borderId="27" xfId="0" applyNumberFormat="1" applyFont="1" applyFill="1" applyBorder="1" applyAlignment="1">
      <alignment horizontal="center" vertical="center"/>
    </xf>
    <xf numFmtId="2" fontId="1" fillId="11" borderId="28" xfId="0" applyNumberFormat="1" applyFont="1" applyFill="1" applyBorder="1" applyAlignment="1">
      <alignment horizontal="center"/>
    </xf>
    <xf numFmtId="2" fontId="4" fillId="11" borderId="22" xfId="0" applyNumberFormat="1" applyFont="1" applyFill="1" applyBorder="1" applyAlignment="1">
      <alignment horizontal="center" vertical="center"/>
    </xf>
    <xf numFmtId="2" fontId="12" fillId="11" borderId="3" xfId="0" applyNumberFormat="1" applyFont="1" applyFill="1" applyBorder="1" applyAlignment="1">
      <alignment horizontal="center"/>
    </xf>
    <xf numFmtId="164" fontId="10" fillId="11" borderId="66" xfId="0" applyNumberFormat="1" applyFont="1" applyFill="1" applyBorder="1" applyAlignment="1">
      <alignment horizontal="center" vertical="center" wrapText="1"/>
    </xf>
    <xf numFmtId="2" fontId="10" fillId="12" borderId="29" xfId="0" applyNumberFormat="1" applyFont="1" applyFill="1" applyBorder="1" applyAlignment="1">
      <alignment horizontal="center" vertical="center"/>
    </xf>
    <xf numFmtId="2" fontId="10" fillId="12" borderId="1" xfId="0" applyNumberFormat="1" applyFont="1" applyFill="1" applyBorder="1" applyAlignment="1">
      <alignment horizontal="center" vertical="center"/>
    </xf>
    <xf numFmtId="2" fontId="10" fillId="12" borderId="2" xfId="0" applyNumberFormat="1" applyFont="1" applyFill="1" applyBorder="1" applyAlignment="1">
      <alignment horizontal="center" vertical="center"/>
    </xf>
    <xf numFmtId="2" fontId="10" fillId="12" borderId="38" xfId="0" applyNumberFormat="1" applyFont="1" applyFill="1" applyBorder="1" applyAlignment="1">
      <alignment horizontal="center" vertical="center"/>
    </xf>
    <xf numFmtId="2" fontId="10" fillId="12" borderId="28" xfId="0" applyNumberFormat="1" applyFont="1" applyFill="1" applyBorder="1" applyAlignment="1">
      <alignment horizontal="center" vertical="center"/>
    </xf>
    <xf numFmtId="1" fontId="10" fillId="12" borderId="29" xfId="0" applyNumberFormat="1" applyFont="1" applyFill="1" applyBorder="1" applyAlignment="1">
      <alignment horizontal="center" vertical="center"/>
    </xf>
    <xf numFmtId="1" fontId="10" fillId="12" borderId="1" xfId="0" applyNumberFormat="1" applyFont="1" applyFill="1" applyBorder="1" applyAlignment="1">
      <alignment horizontal="center" vertical="center"/>
    </xf>
    <xf numFmtId="1" fontId="10" fillId="12" borderId="2" xfId="0" applyNumberFormat="1" applyFont="1" applyFill="1" applyBorder="1" applyAlignment="1">
      <alignment horizontal="center" vertical="center"/>
    </xf>
    <xf numFmtId="1" fontId="10" fillId="12" borderId="38" xfId="0" applyNumberFormat="1" applyFont="1" applyFill="1" applyBorder="1" applyAlignment="1">
      <alignment horizontal="center" vertical="center"/>
    </xf>
    <xf numFmtId="1" fontId="10" fillId="12" borderId="28" xfId="0" applyNumberFormat="1" applyFont="1" applyFill="1" applyBorder="1" applyAlignment="1">
      <alignment horizontal="center" vertical="center"/>
    </xf>
    <xf numFmtId="164" fontId="4" fillId="0" borderId="68" xfId="0" applyNumberFormat="1" applyFont="1" applyFill="1" applyBorder="1" applyAlignment="1">
      <alignment horizontal="center" vertical="center" wrapText="1"/>
    </xf>
    <xf numFmtId="164" fontId="4" fillId="17" borderId="15" xfId="0" applyNumberFormat="1" applyFont="1" applyFill="1" applyBorder="1" applyAlignment="1">
      <alignment horizontal="center" vertical="center" wrapText="1"/>
    </xf>
    <xf numFmtId="2" fontId="32" fillId="18" borderId="69" xfId="0" applyNumberFormat="1" applyFont="1" applyFill="1" applyBorder="1" applyAlignment="1">
      <alignment horizontal="center" vertical="center"/>
    </xf>
    <xf numFmtId="164" fontId="37" fillId="0" borderId="0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/>
    </xf>
    <xf numFmtId="164" fontId="33" fillId="16" borderId="2" xfId="0" applyNumberFormat="1" applyFont="1" applyFill="1" applyBorder="1" applyAlignment="1">
      <alignment horizontal="center" vertical="center" wrapText="1"/>
    </xf>
    <xf numFmtId="164" fontId="33" fillId="16" borderId="28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" fontId="2" fillId="0" borderId="24" xfId="0" applyNumberFormat="1" applyFont="1" applyFill="1" applyBorder="1" applyAlignment="1">
      <alignment horizontal="center" vertical="center"/>
    </xf>
    <xf numFmtId="2" fontId="4" fillId="0" borderId="12" xfId="0" applyNumberFormat="1" applyFont="1" applyFill="1" applyBorder="1" applyAlignment="1">
      <alignment horizontal="center" vertical="center"/>
    </xf>
    <xf numFmtId="1" fontId="2" fillId="0" borderId="11" xfId="0" applyNumberFormat="1" applyFont="1" applyFill="1" applyBorder="1" applyAlignment="1">
      <alignment horizontal="center" vertical="center"/>
    </xf>
    <xf numFmtId="1" fontId="2" fillId="0" borderId="30" xfId="0" applyNumberFormat="1" applyFont="1" applyFill="1" applyBorder="1" applyAlignment="1">
      <alignment horizontal="center" vertical="center"/>
    </xf>
    <xf numFmtId="1" fontId="2" fillId="0" borderId="27" xfId="0" applyNumberFormat="1" applyFont="1" applyFill="1" applyBorder="1" applyAlignment="1">
      <alignment horizontal="center" vertical="center"/>
    </xf>
    <xf numFmtId="2" fontId="19" fillId="0" borderId="67" xfId="0" applyNumberFormat="1" applyFont="1" applyFill="1" applyBorder="1" applyAlignment="1">
      <alignment horizontal="center" vertical="center"/>
    </xf>
    <xf numFmtId="2" fontId="4" fillId="0" borderId="22" xfId="57" applyNumberFormat="1" applyFont="1" applyFill="1" applyBorder="1" applyAlignment="1">
      <alignment horizontal="center" vertical="center"/>
    </xf>
    <xf numFmtId="2" fontId="2" fillId="0" borderId="50" xfId="0" applyNumberFormat="1" applyFont="1" applyFill="1" applyBorder="1" applyAlignment="1">
      <alignment horizontal="center" vertical="center"/>
    </xf>
    <xf numFmtId="2" fontId="19" fillId="0" borderId="57" xfId="0" applyNumberFormat="1" applyFont="1" applyFill="1" applyBorder="1" applyAlignment="1">
      <alignment horizontal="center" vertical="center"/>
    </xf>
    <xf numFmtId="2" fontId="2" fillId="0" borderId="22" xfId="57" applyNumberFormat="1" applyFont="1" applyFill="1" applyBorder="1" applyAlignment="1">
      <alignment horizontal="center" vertical="center"/>
    </xf>
    <xf numFmtId="22" fontId="9" fillId="0" borderId="0" xfId="0" applyNumberFormat="1" applyFont="1"/>
    <xf numFmtId="2" fontId="12" fillId="11" borderId="35" xfId="0" applyNumberFormat="1" applyFont="1" applyFill="1" applyBorder="1" applyAlignment="1">
      <alignment horizontal="center"/>
    </xf>
    <xf numFmtId="2" fontId="12" fillId="11" borderId="37" xfId="0" applyNumberFormat="1" applyFont="1" applyFill="1" applyBorder="1" applyAlignment="1">
      <alignment horizontal="center"/>
    </xf>
    <xf numFmtId="2" fontId="8" fillId="11" borderId="24" xfId="0" applyNumberFormat="1" applyFont="1" applyFill="1" applyBorder="1" applyAlignment="1">
      <alignment horizontal="center"/>
    </xf>
    <xf numFmtId="2" fontId="14" fillId="11" borderId="21" xfId="0" applyNumberFormat="1" applyFont="1" applyFill="1" applyBorder="1" applyAlignment="1">
      <alignment horizontal="center"/>
    </xf>
    <xf numFmtId="164" fontId="33" fillId="16" borderId="44" xfId="0" applyNumberFormat="1" applyFont="1" applyFill="1" applyBorder="1" applyAlignment="1">
      <alignment horizontal="center" vertical="center" wrapText="1"/>
    </xf>
    <xf numFmtId="2" fontId="12" fillId="11" borderId="10" xfId="0" applyNumberFormat="1" applyFont="1" applyFill="1" applyBorder="1" applyAlignment="1">
      <alignment horizontal="center"/>
    </xf>
    <xf numFmtId="2" fontId="19" fillId="0" borderId="10" xfId="0" applyNumberFormat="1" applyFont="1" applyFill="1" applyBorder="1" applyAlignment="1">
      <alignment horizontal="center" vertical="center"/>
    </xf>
    <xf numFmtId="2" fontId="10" fillId="12" borderId="57" xfId="0" applyNumberFormat="1" applyFont="1" applyFill="1" applyBorder="1" applyAlignment="1">
      <alignment horizontal="center" vertical="center"/>
    </xf>
    <xf numFmtId="2" fontId="2" fillId="11" borderId="35" xfId="0" applyNumberFormat="1" applyFont="1" applyFill="1" applyBorder="1" applyAlignment="1">
      <alignment horizontal="center" vertical="center"/>
    </xf>
    <xf numFmtId="164" fontId="9" fillId="0" borderId="35" xfId="0" applyNumberFormat="1" applyFont="1" applyBorder="1" applyAlignment="1">
      <alignment horizontal="center"/>
    </xf>
    <xf numFmtId="164" fontId="26" fillId="16" borderId="1" xfId="0" applyNumberFormat="1" applyFont="1" applyFill="1" applyBorder="1" applyAlignment="1">
      <alignment horizontal="center" vertical="center" wrapText="1"/>
    </xf>
    <xf numFmtId="2" fontId="2" fillId="50" borderId="6" xfId="0" applyNumberFormat="1" applyFont="1" applyFill="1" applyBorder="1" applyAlignment="1">
      <alignment horizontal="center" vertical="center"/>
    </xf>
    <xf numFmtId="2" fontId="2" fillId="50" borderId="9" xfId="0" applyNumberFormat="1" applyFont="1" applyFill="1" applyBorder="1" applyAlignment="1">
      <alignment horizontal="center" vertical="center"/>
    </xf>
    <xf numFmtId="164" fontId="2" fillId="50" borderId="9" xfId="0" applyNumberFormat="1" applyFont="1" applyFill="1" applyBorder="1" applyAlignment="1">
      <alignment horizontal="center" vertical="center"/>
    </xf>
    <xf numFmtId="2" fontId="2" fillId="0" borderId="32" xfId="0" applyNumberFormat="1" applyFont="1" applyFill="1" applyBorder="1" applyAlignment="1">
      <alignment horizontal="center" vertical="center"/>
    </xf>
    <xf numFmtId="2" fontId="2" fillId="0" borderId="48" xfId="0" applyNumberFormat="1" applyFont="1" applyFill="1" applyBorder="1" applyAlignment="1">
      <alignment horizontal="center" vertical="center"/>
    </xf>
    <xf numFmtId="168" fontId="39" fillId="0" borderId="0" xfId="64" applyNumberFormat="1" applyFont="1" applyFill="1" applyBorder="1" applyAlignment="1" applyProtection="1">
      <alignment horizontal="center"/>
    </xf>
    <xf numFmtId="2" fontId="39" fillId="0" borderId="0" xfId="64" applyNumberFormat="1" applyFont="1" applyFill="1" applyBorder="1" applyAlignment="1" applyProtection="1">
      <alignment horizontal="center"/>
    </xf>
    <xf numFmtId="164" fontId="31" fillId="18" borderId="70" xfId="0" applyNumberFormat="1" applyFont="1" applyFill="1" applyBorder="1" applyAlignment="1">
      <alignment horizontal="center" vertical="center"/>
    </xf>
    <xf numFmtId="164" fontId="31" fillId="18" borderId="7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16" borderId="43" xfId="0" applyFont="1" applyFill="1" applyBorder="1" applyAlignment="1">
      <alignment vertical="center"/>
    </xf>
    <xf numFmtId="14" fontId="10" fillId="16" borderId="43" xfId="0" applyNumberFormat="1" applyFont="1" applyFill="1" applyBorder="1" applyAlignment="1" applyProtection="1">
      <alignment horizontal="center" vertical="center"/>
    </xf>
    <xf numFmtId="14" fontId="10" fillId="0" borderId="0" xfId="0" applyNumberFormat="1" applyFont="1" applyFill="1" applyBorder="1" applyAlignment="1" applyProtection="1">
      <alignment horizontal="center" vertical="center"/>
    </xf>
    <xf numFmtId="1" fontId="2" fillId="0" borderId="23" xfId="0" applyNumberFormat="1" applyFont="1" applyFill="1" applyBorder="1" applyAlignment="1">
      <alignment horizontal="center" vertical="center"/>
    </xf>
    <xf numFmtId="1" fontId="2" fillId="0" borderId="23" xfId="57" applyNumberFormat="1" applyFont="1" applyFill="1" applyBorder="1" applyAlignment="1">
      <alignment horizontal="center" vertical="center"/>
    </xf>
    <xf numFmtId="1" fontId="2" fillId="0" borderId="52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0" borderId="58" xfId="0" applyNumberFormat="1" applyFont="1" applyFill="1" applyBorder="1" applyAlignment="1">
      <alignment horizontal="center" vertical="center"/>
    </xf>
    <xf numFmtId="2" fontId="2" fillId="0" borderId="72" xfId="0" applyNumberFormat="1" applyFont="1" applyFill="1" applyBorder="1" applyAlignment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5" xfId="0" applyFont="1" applyFill="1" applyBorder="1" applyAlignment="1">
      <alignment horizontal="center"/>
    </xf>
    <xf numFmtId="1" fontId="39" fillId="0" borderId="87" xfId="64" applyNumberFormat="1" applyFont="1" applyFill="1" applyBorder="1" applyAlignment="1" applyProtection="1">
      <alignment horizontal="center"/>
    </xf>
    <xf numFmtId="2" fontId="39" fillId="0" borderId="87" xfId="64" applyNumberFormat="1" applyFont="1" applyFill="1" applyBorder="1" applyAlignment="1" applyProtection="1">
      <alignment horizontal="center"/>
    </xf>
    <xf numFmtId="2" fontId="39" fillId="0" borderId="88" xfId="64" applyNumberFormat="1" applyFont="1" applyFill="1" applyBorder="1" applyAlignment="1" applyProtection="1">
      <alignment horizontal="center"/>
    </xf>
    <xf numFmtId="168" fontId="39" fillId="0" borderId="87" xfId="64" applyNumberFormat="1" applyFont="1" applyFill="1" applyBorder="1" applyAlignment="1" applyProtection="1">
      <alignment horizontal="center"/>
    </xf>
    <xf numFmtId="1" fontId="2" fillId="0" borderId="39" xfId="0" applyNumberFormat="1" applyFont="1" applyFill="1" applyBorder="1" applyAlignment="1">
      <alignment horizontal="center" vertical="center"/>
    </xf>
    <xf numFmtId="1" fontId="2" fillId="0" borderId="36" xfId="0" applyNumberFormat="1" applyFont="1" applyFill="1" applyBorder="1" applyAlignment="1">
      <alignment horizontal="center" vertical="center"/>
    </xf>
    <xf numFmtId="2" fontId="9" fillId="12" borderId="8" xfId="0" applyNumberFormat="1" applyFont="1" applyFill="1" applyBorder="1" applyAlignment="1" applyProtection="1">
      <alignment horizontal="center"/>
      <protection locked="0"/>
    </xf>
    <xf numFmtId="2" fontId="2" fillId="12" borderId="3" xfId="0" applyNumberFormat="1" applyFont="1" applyFill="1" applyBorder="1" applyAlignment="1">
      <alignment horizontal="center" vertical="center"/>
    </xf>
    <xf numFmtId="2" fontId="2" fillId="12" borderId="35" xfId="0" applyNumberFormat="1" applyFont="1" applyFill="1" applyBorder="1" applyAlignment="1">
      <alignment horizontal="center" vertical="center"/>
    </xf>
    <xf numFmtId="2" fontId="2" fillId="12" borderId="74" xfId="0" applyNumberFormat="1" applyFont="1" applyFill="1" applyBorder="1" applyAlignment="1">
      <alignment horizontal="center" vertical="center"/>
    </xf>
    <xf numFmtId="2" fontId="23" fillId="12" borderId="6" xfId="0" applyNumberFormat="1" applyFont="1" applyFill="1" applyBorder="1" applyAlignment="1">
      <alignment horizontal="center" vertical="center"/>
    </xf>
    <xf numFmtId="2" fontId="2" fillId="12" borderId="1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9" fillId="0" borderId="0" xfId="0" applyFont="1"/>
    <xf numFmtId="168" fontId="39" fillId="0" borderId="89" xfId="64" applyNumberFormat="1" applyFont="1" applyFill="1" applyBorder="1" applyAlignment="1" applyProtection="1">
      <alignment horizontal="center"/>
    </xf>
    <xf numFmtId="170" fontId="2" fillId="9" borderId="1" xfId="0" quotePrefix="1" applyNumberFormat="1" applyFont="1" applyFill="1" applyBorder="1" applyAlignment="1">
      <alignment horizontal="center" vertical="center"/>
    </xf>
    <xf numFmtId="170" fontId="2" fillId="9" borderId="1" xfId="0" applyNumberFormat="1" applyFont="1" applyFill="1" applyBorder="1" applyAlignment="1">
      <alignment horizontal="center" vertical="center"/>
    </xf>
    <xf numFmtId="170" fontId="2" fillId="9" borderId="28" xfId="0" applyNumberFormat="1" applyFont="1" applyFill="1" applyBorder="1" applyAlignment="1">
      <alignment horizontal="center" vertical="center"/>
    </xf>
    <xf numFmtId="170" fontId="2" fillId="10" borderId="29" xfId="0" applyNumberFormat="1" applyFont="1" applyFill="1" applyBorder="1" applyAlignment="1">
      <alignment horizontal="center" vertical="center"/>
    </xf>
    <xf numFmtId="170" fontId="2" fillId="10" borderId="1" xfId="0" applyNumberFormat="1" applyFont="1" applyFill="1" applyBorder="1" applyAlignment="1">
      <alignment horizontal="center" vertical="center"/>
    </xf>
    <xf numFmtId="170" fontId="2" fillId="10" borderId="2" xfId="0" applyNumberFormat="1" applyFont="1" applyFill="1" applyBorder="1" applyAlignment="1">
      <alignment horizontal="center" vertical="center"/>
    </xf>
    <xf numFmtId="170" fontId="2" fillId="9" borderId="29" xfId="0" quotePrefix="1" applyNumberFormat="1" applyFont="1" applyFill="1" applyBorder="1" applyAlignment="1">
      <alignment horizontal="center" vertical="center"/>
    </xf>
    <xf numFmtId="170" fontId="2" fillId="9" borderId="2" xfId="0" applyNumberFormat="1" applyFont="1" applyFill="1" applyBorder="1" applyAlignment="1">
      <alignment horizontal="center" vertical="center"/>
    </xf>
    <xf numFmtId="170" fontId="2" fillId="0" borderId="0" xfId="0" applyNumberFormat="1" applyFont="1" applyBorder="1" applyAlignment="1">
      <alignment vertical="center"/>
    </xf>
    <xf numFmtId="164" fontId="4" fillId="0" borderId="18" xfId="0" applyNumberFormat="1" applyFont="1" applyFill="1" applyBorder="1" applyAlignment="1">
      <alignment horizontal="center" vertical="center" wrapText="1"/>
    </xf>
    <xf numFmtId="164" fontId="4" fillId="0" borderId="25" xfId="0" applyNumberFormat="1" applyFont="1" applyFill="1" applyBorder="1" applyAlignment="1">
      <alignment horizontal="center" vertical="center" wrapText="1"/>
    </xf>
    <xf numFmtId="164" fontId="4" fillId="0" borderId="26" xfId="0" applyNumberFormat="1" applyFont="1" applyFill="1" applyBorder="1" applyAlignment="1">
      <alignment horizontal="center" vertical="center" wrapText="1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18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31" fillId="18" borderId="75" xfId="0" applyNumberFormat="1" applyFont="1" applyFill="1" applyBorder="1" applyAlignment="1">
      <alignment horizontal="center" vertical="center"/>
    </xf>
    <xf numFmtId="164" fontId="31" fillId="18" borderId="76" xfId="0" applyNumberFormat="1" applyFont="1" applyFill="1" applyBorder="1" applyAlignment="1">
      <alignment horizontal="center" vertical="center"/>
    </xf>
    <xf numFmtId="164" fontId="4" fillId="0" borderId="47" xfId="0" applyNumberFormat="1" applyFont="1" applyFill="1" applyBorder="1" applyAlignment="1">
      <alignment horizontal="center" vertical="center" wrapText="1"/>
    </xf>
    <xf numFmtId="164" fontId="4" fillId="0" borderId="77" xfId="0" applyNumberFormat="1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</cellXfs>
  <cellStyles count="77">
    <cellStyle name="20% - Accent1 2" xfId="1"/>
    <cellStyle name="20% - Accent1 2 2" xfId="2"/>
    <cellStyle name="20% - Accent1 2 3" xfId="3"/>
    <cellStyle name="20% - Accent2 2" xfId="4"/>
    <cellStyle name="20% - Accent2 2 2" xfId="5"/>
    <cellStyle name="20% - Accent2 2 3" xfId="6"/>
    <cellStyle name="20% - Accent3 2" xfId="7"/>
    <cellStyle name="20% - Accent3 2 2" xfId="8"/>
    <cellStyle name="20% - Accent3 2 3" xfId="9"/>
    <cellStyle name="20% - Accent4 2" xfId="10"/>
    <cellStyle name="20% - Accent4 2 2" xfId="11"/>
    <cellStyle name="20% - Accent4 2 3" xfId="12"/>
    <cellStyle name="20% - Accent5 2" xfId="13"/>
    <cellStyle name="20% - Accent6 2" xfId="14"/>
    <cellStyle name="40% - Accent1 2" xfId="15"/>
    <cellStyle name="40% - Accent2 2" xfId="16"/>
    <cellStyle name="40% - Accent3 2" xfId="17"/>
    <cellStyle name="40% - Accent3 2 2" xfId="18"/>
    <cellStyle name="40% - Accent3 2 3" xfId="19"/>
    <cellStyle name="40% - Accent4 2" xfId="20"/>
    <cellStyle name="40% - Accent5 2" xfId="21"/>
    <cellStyle name="40% - Accent6 2" xfId="22"/>
    <cellStyle name="60% - Accent1 2" xfId="23"/>
    <cellStyle name="60% - Accent2 2" xfId="24"/>
    <cellStyle name="60% - Accent3 2" xfId="25"/>
    <cellStyle name="60% - Accent3 2 2" xfId="26"/>
    <cellStyle name="60% - Accent3 2 3" xfId="27"/>
    <cellStyle name="60% - Accent4 2" xfId="28"/>
    <cellStyle name="60% - Accent4 2 2" xfId="29"/>
    <cellStyle name="60% - Accent4 2 3" xfId="30"/>
    <cellStyle name="60% - Accent5 2" xfId="31"/>
    <cellStyle name="60% - Accent6 2" xfId="32"/>
    <cellStyle name="60% - Accent6 2 2" xfId="33"/>
    <cellStyle name="60% - Accent6 2 3" xfId="34"/>
    <cellStyle name="Accent1 2" xfId="35"/>
    <cellStyle name="Accent2 2" xfId="36"/>
    <cellStyle name="Accent3 2" xfId="37"/>
    <cellStyle name="Accent4 2" xfId="38"/>
    <cellStyle name="Accent5 2" xfId="39"/>
    <cellStyle name="Accent6 2" xfId="40"/>
    <cellStyle name="Bad 2" xfId="41"/>
    <cellStyle name="Calculation 2" xfId="42"/>
    <cellStyle name="Check Cell 2" xfId="43"/>
    <cellStyle name="Explanatory Text 2" xfId="44"/>
    <cellStyle name="Good 2" xfId="45"/>
    <cellStyle name="Heading 1 2" xfId="46"/>
    <cellStyle name="Heading 2 2" xfId="47"/>
    <cellStyle name="Heading 3 2" xfId="48"/>
    <cellStyle name="Heading 4 2" xfId="49"/>
    <cellStyle name="Input 2" xfId="51"/>
    <cellStyle name="Köprü" xfId="50" builtinId="8"/>
    <cellStyle name="Linked Cell 2" xfId="52"/>
    <cellStyle name="Neutral 2" xfId="53"/>
    <cellStyle name="Normal" xfId="0" builtinId="0"/>
    <cellStyle name="Normal 2" xfId="54"/>
    <cellStyle name="Normal 2 2" xfId="55"/>
    <cellStyle name="Normal 2 3" xfId="56"/>
    <cellStyle name="Normal 3" xfId="57"/>
    <cellStyle name="Normal 3 2" xfId="58"/>
    <cellStyle name="Normal 4" xfId="59"/>
    <cellStyle name="Normal 4 2" xfId="60"/>
    <cellStyle name="Normal 5" xfId="61"/>
    <cellStyle name="Normal 5 2" xfId="62"/>
    <cellStyle name="Normal 6" xfId="63"/>
    <cellStyle name="Normal_HAFTALIK VERI GIRISI YARI MAMUL" xfId="64"/>
    <cellStyle name="Note 2" xfId="65"/>
    <cellStyle name="Note 2 2" xfId="66"/>
    <cellStyle name="Note 2 2 2" xfId="67"/>
    <cellStyle name="Note 2 3" xfId="68"/>
    <cellStyle name="Note 2 3 2" xfId="69"/>
    <cellStyle name="Note 2 4" xfId="70"/>
    <cellStyle name="Note 2 5" xfId="71"/>
    <cellStyle name="Note 2 6" xfId="72"/>
    <cellStyle name="Output 2" xfId="73"/>
    <cellStyle name="Title 2" xfId="74"/>
    <cellStyle name="Total 2" xfId="75"/>
    <cellStyle name="Warning Text 2" xfId="76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47625</xdr:rowOff>
        </xdr:from>
        <xdr:to>
          <xdr:col>0</xdr:col>
          <xdr:colOff>1219200</xdr:colOff>
          <xdr:row>0</xdr:row>
          <xdr:rowOff>438150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Manual Button</a:t>
              </a:r>
            </a:p>
            <a:p>
              <a:pPr algn="ctr" rtl="0">
                <a:defRPr sz="1000"/>
              </a:pPr>
              <a:endParaRPr lang="tr-T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4" name="Picture 1" descr="p?c1=2&amp;c2=7848742&amp;cv=2">
          <a:extLst>
            <a:ext uri="{FF2B5EF4-FFF2-40B4-BE49-F238E27FC236}">
              <a16:creationId xmlns:a16="http://schemas.microsoft.com/office/drawing/2014/main" id="{00000000-0008-0000-0400-00000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5" name="Picture 36" descr="p?c1=2&amp;c2=7848742&amp;cv=2">
          <a:extLst>
            <a:ext uri="{FF2B5EF4-FFF2-40B4-BE49-F238E27FC236}">
              <a16:creationId xmlns:a16="http://schemas.microsoft.com/office/drawing/2014/main" id="{00000000-0008-0000-0400-00000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6" name="Picture 1" descr="p?c1=2&amp;c2=7848742&amp;cv=2">
          <a:extLst>
            <a:ext uri="{FF2B5EF4-FFF2-40B4-BE49-F238E27FC236}">
              <a16:creationId xmlns:a16="http://schemas.microsoft.com/office/drawing/2014/main" id="{00000000-0008-0000-0400-00000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7" name="Picture 36" descr="p?c1=2&amp;c2=7848742&amp;cv=2">
          <a:extLst>
            <a:ext uri="{FF2B5EF4-FFF2-40B4-BE49-F238E27FC236}">
              <a16:creationId xmlns:a16="http://schemas.microsoft.com/office/drawing/2014/main" id="{00000000-0008-0000-0400-00000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8" name="Picture 1" descr="p?c1=2&amp;c2=7848742&amp;cv=2">
          <a:extLst>
            <a:ext uri="{FF2B5EF4-FFF2-40B4-BE49-F238E27FC236}">
              <a16:creationId xmlns:a16="http://schemas.microsoft.com/office/drawing/2014/main" id="{00000000-0008-0000-0400-00000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9" name="Picture 36" descr="p?c1=2&amp;c2=7848742&amp;cv=2">
          <a:extLst>
            <a:ext uri="{FF2B5EF4-FFF2-40B4-BE49-F238E27FC236}">
              <a16:creationId xmlns:a16="http://schemas.microsoft.com/office/drawing/2014/main" id="{00000000-0008-0000-0400-00000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0" name="Picture 1" descr="p?c1=2&amp;c2=7848742&amp;cv=2">
          <a:extLst>
            <a:ext uri="{FF2B5EF4-FFF2-40B4-BE49-F238E27FC236}">
              <a16:creationId xmlns:a16="http://schemas.microsoft.com/office/drawing/2014/main" id="{00000000-0008-0000-0400-00000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1" name="Picture 36" descr="p?c1=2&amp;c2=7848742&amp;cv=2">
          <a:extLst>
            <a:ext uri="{FF2B5EF4-FFF2-40B4-BE49-F238E27FC236}">
              <a16:creationId xmlns:a16="http://schemas.microsoft.com/office/drawing/2014/main" id="{00000000-0008-0000-0400-00000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2" name="Picture 1" descr="p?c1=2&amp;c2=7848742&amp;cv=2">
          <a:extLst>
            <a:ext uri="{FF2B5EF4-FFF2-40B4-BE49-F238E27FC236}">
              <a16:creationId xmlns:a16="http://schemas.microsoft.com/office/drawing/2014/main" id="{00000000-0008-0000-0400-00000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3" name="Picture 36" descr="p?c1=2&amp;c2=7848742&amp;cv=2">
          <a:extLst>
            <a:ext uri="{FF2B5EF4-FFF2-40B4-BE49-F238E27FC236}">
              <a16:creationId xmlns:a16="http://schemas.microsoft.com/office/drawing/2014/main" id="{00000000-0008-0000-0400-00000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4" name="Picture 1" descr="p?c1=2&amp;c2=7848742&amp;cv=2">
          <a:extLst>
            <a:ext uri="{FF2B5EF4-FFF2-40B4-BE49-F238E27FC236}">
              <a16:creationId xmlns:a16="http://schemas.microsoft.com/office/drawing/2014/main" id="{00000000-0008-0000-0400-00001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5" name="Picture 36" descr="p?c1=2&amp;c2=7848742&amp;cv=2">
          <a:extLst>
            <a:ext uri="{FF2B5EF4-FFF2-40B4-BE49-F238E27FC236}">
              <a16:creationId xmlns:a16="http://schemas.microsoft.com/office/drawing/2014/main" id="{00000000-0008-0000-0400-00001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6" name="Picture 1" descr="p?c1=2&amp;c2=7848742&amp;cv=2">
          <a:extLst>
            <a:ext uri="{FF2B5EF4-FFF2-40B4-BE49-F238E27FC236}">
              <a16:creationId xmlns:a16="http://schemas.microsoft.com/office/drawing/2014/main" id="{00000000-0008-0000-0400-00001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7" name="Picture 36" descr="p?c1=2&amp;c2=7848742&amp;cv=2">
          <a:extLst>
            <a:ext uri="{FF2B5EF4-FFF2-40B4-BE49-F238E27FC236}">
              <a16:creationId xmlns:a16="http://schemas.microsoft.com/office/drawing/2014/main" id="{00000000-0008-0000-0400-00001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8" name="Picture 1" descr="p?c1=2&amp;c2=7848742&amp;cv=2">
          <a:extLst>
            <a:ext uri="{FF2B5EF4-FFF2-40B4-BE49-F238E27FC236}">
              <a16:creationId xmlns:a16="http://schemas.microsoft.com/office/drawing/2014/main" id="{00000000-0008-0000-0400-00001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9" name="Picture 36" descr="p?c1=2&amp;c2=7848742&amp;cv=2">
          <a:extLst>
            <a:ext uri="{FF2B5EF4-FFF2-40B4-BE49-F238E27FC236}">
              <a16:creationId xmlns:a16="http://schemas.microsoft.com/office/drawing/2014/main" id="{00000000-0008-0000-0400-00001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0" name="Picture 1" descr="p?c1=2&amp;c2=7848742&amp;cv=2">
          <a:extLst>
            <a:ext uri="{FF2B5EF4-FFF2-40B4-BE49-F238E27FC236}">
              <a16:creationId xmlns:a16="http://schemas.microsoft.com/office/drawing/2014/main" id="{00000000-0008-0000-0400-00001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1" name="Picture 36" descr="p?c1=2&amp;c2=7848742&amp;cv=2">
          <a:extLst>
            <a:ext uri="{FF2B5EF4-FFF2-40B4-BE49-F238E27FC236}">
              <a16:creationId xmlns:a16="http://schemas.microsoft.com/office/drawing/2014/main" id="{00000000-0008-0000-0400-00001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2" name="Picture 1" descr="p?c1=2&amp;c2=7848742&amp;cv=2">
          <a:extLst>
            <a:ext uri="{FF2B5EF4-FFF2-40B4-BE49-F238E27FC236}">
              <a16:creationId xmlns:a16="http://schemas.microsoft.com/office/drawing/2014/main" id="{00000000-0008-0000-0400-00001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3" name="Picture 36" descr="p?c1=2&amp;c2=7848742&amp;cv=2">
          <a:extLst>
            <a:ext uri="{FF2B5EF4-FFF2-40B4-BE49-F238E27FC236}">
              <a16:creationId xmlns:a16="http://schemas.microsoft.com/office/drawing/2014/main" id="{00000000-0008-0000-0400-00001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4" name="Picture 1" descr="p?c1=2&amp;c2=7848742&amp;cv=2">
          <a:extLst>
            <a:ext uri="{FF2B5EF4-FFF2-40B4-BE49-F238E27FC236}">
              <a16:creationId xmlns:a16="http://schemas.microsoft.com/office/drawing/2014/main" id="{00000000-0008-0000-0400-00001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5" name="Picture 36" descr="p?c1=2&amp;c2=7848742&amp;cv=2">
          <a:extLst>
            <a:ext uri="{FF2B5EF4-FFF2-40B4-BE49-F238E27FC236}">
              <a16:creationId xmlns:a16="http://schemas.microsoft.com/office/drawing/2014/main" id="{00000000-0008-0000-0400-00001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6" name="Picture 1" descr="p?c1=2&amp;c2=7848742&amp;cv=2">
          <a:extLst>
            <a:ext uri="{FF2B5EF4-FFF2-40B4-BE49-F238E27FC236}">
              <a16:creationId xmlns:a16="http://schemas.microsoft.com/office/drawing/2014/main" id="{00000000-0008-0000-0400-00001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7" name="Picture 36" descr="p?c1=2&amp;c2=7848742&amp;cv=2">
          <a:extLst>
            <a:ext uri="{FF2B5EF4-FFF2-40B4-BE49-F238E27FC236}">
              <a16:creationId xmlns:a16="http://schemas.microsoft.com/office/drawing/2014/main" id="{00000000-0008-0000-0400-00001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8" name="Picture 1" descr="p?c1=2&amp;c2=7848742&amp;cv=2">
          <a:extLst>
            <a:ext uri="{FF2B5EF4-FFF2-40B4-BE49-F238E27FC236}">
              <a16:creationId xmlns:a16="http://schemas.microsoft.com/office/drawing/2014/main" id="{00000000-0008-0000-0400-00001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9" name="Picture 36" descr="p?c1=2&amp;c2=7848742&amp;cv=2">
          <a:extLst>
            <a:ext uri="{FF2B5EF4-FFF2-40B4-BE49-F238E27FC236}">
              <a16:creationId xmlns:a16="http://schemas.microsoft.com/office/drawing/2014/main" id="{00000000-0008-0000-0400-00001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0" name="Picture 1" descr="p?c1=2&amp;c2=7848742&amp;cv=2">
          <a:extLst>
            <a:ext uri="{FF2B5EF4-FFF2-40B4-BE49-F238E27FC236}">
              <a16:creationId xmlns:a16="http://schemas.microsoft.com/office/drawing/2014/main" id="{00000000-0008-0000-0400-00002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1" name="Picture 36" descr="p?c1=2&amp;c2=7848742&amp;cv=2">
          <a:extLst>
            <a:ext uri="{FF2B5EF4-FFF2-40B4-BE49-F238E27FC236}">
              <a16:creationId xmlns:a16="http://schemas.microsoft.com/office/drawing/2014/main" id="{00000000-0008-0000-0400-00002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2" name="Picture 1" descr="p?c1=2&amp;c2=7848742&amp;cv=2">
          <a:extLst>
            <a:ext uri="{FF2B5EF4-FFF2-40B4-BE49-F238E27FC236}">
              <a16:creationId xmlns:a16="http://schemas.microsoft.com/office/drawing/2014/main" id="{00000000-0008-0000-0400-00002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3" name="Picture 36" descr="p?c1=2&amp;c2=7848742&amp;cv=2">
          <a:extLst>
            <a:ext uri="{FF2B5EF4-FFF2-40B4-BE49-F238E27FC236}">
              <a16:creationId xmlns:a16="http://schemas.microsoft.com/office/drawing/2014/main" id="{00000000-0008-0000-0400-00002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4" name="Picture 1" descr="p?c1=2&amp;c2=7848742&amp;cv=2">
          <a:extLst>
            <a:ext uri="{FF2B5EF4-FFF2-40B4-BE49-F238E27FC236}">
              <a16:creationId xmlns:a16="http://schemas.microsoft.com/office/drawing/2014/main" id="{00000000-0008-0000-0400-00002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5" name="Picture 36" descr="p?c1=2&amp;c2=7848742&amp;cv=2">
          <a:extLst>
            <a:ext uri="{FF2B5EF4-FFF2-40B4-BE49-F238E27FC236}">
              <a16:creationId xmlns:a16="http://schemas.microsoft.com/office/drawing/2014/main" id="{00000000-0008-0000-0400-00002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6" name="Picture 1" descr="p?c1=2&amp;c2=7848742&amp;cv=2">
          <a:extLst>
            <a:ext uri="{FF2B5EF4-FFF2-40B4-BE49-F238E27FC236}">
              <a16:creationId xmlns:a16="http://schemas.microsoft.com/office/drawing/2014/main" id="{00000000-0008-0000-0400-00002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7" name="Picture 36" descr="p?c1=2&amp;c2=7848742&amp;cv=2">
          <a:extLst>
            <a:ext uri="{FF2B5EF4-FFF2-40B4-BE49-F238E27FC236}">
              <a16:creationId xmlns:a16="http://schemas.microsoft.com/office/drawing/2014/main" id="{00000000-0008-0000-0400-00002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8" name="Picture 1" descr="p?c1=2&amp;c2=7848742&amp;cv=2">
          <a:extLst>
            <a:ext uri="{FF2B5EF4-FFF2-40B4-BE49-F238E27FC236}">
              <a16:creationId xmlns:a16="http://schemas.microsoft.com/office/drawing/2014/main" id="{00000000-0008-0000-0400-00002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9" name="Picture 36" descr="p?c1=2&amp;c2=7848742&amp;cv=2">
          <a:extLst>
            <a:ext uri="{FF2B5EF4-FFF2-40B4-BE49-F238E27FC236}">
              <a16:creationId xmlns:a16="http://schemas.microsoft.com/office/drawing/2014/main" id="{00000000-0008-0000-0400-00002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0" name="Picture 1" descr="p?c1=2&amp;c2=7848742&amp;cv=2">
          <a:extLst>
            <a:ext uri="{FF2B5EF4-FFF2-40B4-BE49-F238E27FC236}">
              <a16:creationId xmlns:a16="http://schemas.microsoft.com/office/drawing/2014/main" id="{00000000-0008-0000-0400-00002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1" name="Picture 36" descr="p?c1=2&amp;c2=7848742&amp;cv=2">
          <a:extLst>
            <a:ext uri="{FF2B5EF4-FFF2-40B4-BE49-F238E27FC236}">
              <a16:creationId xmlns:a16="http://schemas.microsoft.com/office/drawing/2014/main" id="{00000000-0008-0000-0400-00002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2" name="Picture 1" descr="p?c1=2&amp;c2=7848742&amp;cv=2">
          <a:extLst>
            <a:ext uri="{FF2B5EF4-FFF2-40B4-BE49-F238E27FC236}">
              <a16:creationId xmlns:a16="http://schemas.microsoft.com/office/drawing/2014/main" id="{00000000-0008-0000-0400-00002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3" name="Picture 36" descr="p?c1=2&amp;c2=7848742&amp;cv=2">
          <a:extLst>
            <a:ext uri="{FF2B5EF4-FFF2-40B4-BE49-F238E27FC236}">
              <a16:creationId xmlns:a16="http://schemas.microsoft.com/office/drawing/2014/main" id="{00000000-0008-0000-0400-00002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4" name="Picture 1" descr="p?c1=2&amp;c2=7848742&amp;cv=2">
          <a:extLst>
            <a:ext uri="{FF2B5EF4-FFF2-40B4-BE49-F238E27FC236}">
              <a16:creationId xmlns:a16="http://schemas.microsoft.com/office/drawing/2014/main" id="{00000000-0008-0000-0400-00002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5" name="Picture 36" descr="p?c1=2&amp;c2=7848742&amp;cv=2">
          <a:extLst>
            <a:ext uri="{FF2B5EF4-FFF2-40B4-BE49-F238E27FC236}">
              <a16:creationId xmlns:a16="http://schemas.microsoft.com/office/drawing/2014/main" id="{00000000-0008-0000-0400-00002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6" name="Picture 1" descr="p?c1=2&amp;c2=7848742&amp;cv=2">
          <a:extLst>
            <a:ext uri="{FF2B5EF4-FFF2-40B4-BE49-F238E27FC236}">
              <a16:creationId xmlns:a16="http://schemas.microsoft.com/office/drawing/2014/main" id="{00000000-0008-0000-0400-00003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7" name="Picture 36" descr="p?c1=2&amp;c2=7848742&amp;cv=2">
          <a:extLst>
            <a:ext uri="{FF2B5EF4-FFF2-40B4-BE49-F238E27FC236}">
              <a16:creationId xmlns:a16="http://schemas.microsoft.com/office/drawing/2014/main" id="{00000000-0008-0000-0400-00003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8" name="Picture 1" descr="p?c1=2&amp;c2=7848742&amp;cv=2">
          <a:extLst>
            <a:ext uri="{FF2B5EF4-FFF2-40B4-BE49-F238E27FC236}">
              <a16:creationId xmlns:a16="http://schemas.microsoft.com/office/drawing/2014/main" id="{00000000-0008-0000-0400-00003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9" name="Picture 36" descr="p?c1=2&amp;c2=7848742&amp;cv=2">
          <a:extLst>
            <a:ext uri="{FF2B5EF4-FFF2-40B4-BE49-F238E27FC236}">
              <a16:creationId xmlns:a16="http://schemas.microsoft.com/office/drawing/2014/main" id="{00000000-0008-0000-0400-00003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0" name="Picture 1" descr="p?c1=2&amp;c2=7848742&amp;cv=2">
          <a:extLst>
            <a:ext uri="{FF2B5EF4-FFF2-40B4-BE49-F238E27FC236}">
              <a16:creationId xmlns:a16="http://schemas.microsoft.com/office/drawing/2014/main" id="{00000000-0008-0000-0400-00003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1" name="Picture 36" descr="p?c1=2&amp;c2=7848742&amp;cv=2">
          <a:extLst>
            <a:ext uri="{FF2B5EF4-FFF2-40B4-BE49-F238E27FC236}">
              <a16:creationId xmlns:a16="http://schemas.microsoft.com/office/drawing/2014/main" id="{00000000-0008-0000-0400-00003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2" name="Picture 1" descr="p?c1=2&amp;c2=7848742&amp;cv=2">
          <a:extLst>
            <a:ext uri="{FF2B5EF4-FFF2-40B4-BE49-F238E27FC236}">
              <a16:creationId xmlns:a16="http://schemas.microsoft.com/office/drawing/2014/main" id="{00000000-0008-0000-0400-00003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3" name="Picture 36" descr="p?c1=2&amp;c2=7848742&amp;cv=2">
          <a:extLst>
            <a:ext uri="{FF2B5EF4-FFF2-40B4-BE49-F238E27FC236}">
              <a16:creationId xmlns:a16="http://schemas.microsoft.com/office/drawing/2014/main" id="{00000000-0008-0000-0400-00003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4" name="Picture 1" descr="p?c1=2&amp;c2=7848742&amp;cv=2">
          <a:extLst>
            <a:ext uri="{FF2B5EF4-FFF2-40B4-BE49-F238E27FC236}">
              <a16:creationId xmlns:a16="http://schemas.microsoft.com/office/drawing/2014/main" id="{00000000-0008-0000-0400-00003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5" name="Picture 36" descr="p?c1=2&amp;c2=7848742&amp;cv=2">
          <a:extLst>
            <a:ext uri="{FF2B5EF4-FFF2-40B4-BE49-F238E27FC236}">
              <a16:creationId xmlns:a16="http://schemas.microsoft.com/office/drawing/2014/main" id="{00000000-0008-0000-0400-00003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6" name="Picture 1" descr="p?c1=2&amp;c2=7848742&amp;cv=2">
          <a:extLst>
            <a:ext uri="{FF2B5EF4-FFF2-40B4-BE49-F238E27FC236}">
              <a16:creationId xmlns:a16="http://schemas.microsoft.com/office/drawing/2014/main" id="{00000000-0008-0000-0400-00003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7" name="Picture 36" descr="p?c1=2&amp;c2=7848742&amp;cv=2">
          <a:extLst>
            <a:ext uri="{FF2B5EF4-FFF2-40B4-BE49-F238E27FC236}">
              <a16:creationId xmlns:a16="http://schemas.microsoft.com/office/drawing/2014/main" id="{00000000-0008-0000-0400-00003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8" name="Picture 1" descr="p?c1=2&amp;c2=7848742&amp;cv=2">
          <a:extLst>
            <a:ext uri="{FF2B5EF4-FFF2-40B4-BE49-F238E27FC236}">
              <a16:creationId xmlns:a16="http://schemas.microsoft.com/office/drawing/2014/main" id="{00000000-0008-0000-0400-00003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9" name="Picture 36" descr="p?c1=2&amp;c2=7848742&amp;cv=2">
          <a:extLst>
            <a:ext uri="{FF2B5EF4-FFF2-40B4-BE49-F238E27FC236}">
              <a16:creationId xmlns:a16="http://schemas.microsoft.com/office/drawing/2014/main" id="{00000000-0008-0000-0400-00003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0" name="Picture 1" descr="p?c1=2&amp;c2=7848742&amp;cv=2">
          <a:extLst>
            <a:ext uri="{FF2B5EF4-FFF2-40B4-BE49-F238E27FC236}">
              <a16:creationId xmlns:a16="http://schemas.microsoft.com/office/drawing/2014/main" id="{00000000-0008-0000-0400-00003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1" name="Picture 36" descr="p?c1=2&amp;c2=7848742&amp;cv=2">
          <a:extLst>
            <a:ext uri="{FF2B5EF4-FFF2-40B4-BE49-F238E27FC236}">
              <a16:creationId xmlns:a16="http://schemas.microsoft.com/office/drawing/2014/main" id="{00000000-0008-0000-0400-00003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2" name="Picture 1" descr="p?c1=2&amp;c2=7848742&amp;cv=2">
          <a:extLst>
            <a:ext uri="{FF2B5EF4-FFF2-40B4-BE49-F238E27FC236}">
              <a16:creationId xmlns:a16="http://schemas.microsoft.com/office/drawing/2014/main" id="{00000000-0008-0000-0400-00004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3" name="Picture 36" descr="p?c1=2&amp;c2=7848742&amp;cv=2">
          <a:extLst>
            <a:ext uri="{FF2B5EF4-FFF2-40B4-BE49-F238E27FC236}">
              <a16:creationId xmlns:a16="http://schemas.microsoft.com/office/drawing/2014/main" id="{00000000-0008-0000-0400-00004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4" name="Picture 1" descr="p?c1=2&amp;c2=7848742&amp;cv=2">
          <a:extLst>
            <a:ext uri="{FF2B5EF4-FFF2-40B4-BE49-F238E27FC236}">
              <a16:creationId xmlns:a16="http://schemas.microsoft.com/office/drawing/2014/main" id="{00000000-0008-0000-0400-00004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5" name="Picture 36" descr="p?c1=2&amp;c2=7848742&amp;cv=2">
          <a:extLst>
            <a:ext uri="{FF2B5EF4-FFF2-40B4-BE49-F238E27FC236}">
              <a16:creationId xmlns:a16="http://schemas.microsoft.com/office/drawing/2014/main" id="{00000000-0008-0000-0400-00004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6" name="Picture 1" descr="p?c1=2&amp;c2=7848742&amp;cv=2">
          <a:extLst>
            <a:ext uri="{FF2B5EF4-FFF2-40B4-BE49-F238E27FC236}">
              <a16:creationId xmlns:a16="http://schemas.microsoft.com/office/drawing/2014/main" id="{00000000-0008-0000-0400-00004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7" name="Picture 36" descr="p?c1=2&amp;c2=7848742&amp;cv=2">
          <a:extLst>
            <a:ext uri="{FF2B5EF4-FFF2-40B4-BE49-F238E27FC236}">
              <a16:creationId xmlns:a16="http://schemas.microsoft.com/office/drawing/2014/main" id="{00000000-0008-0000-0400-00004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58" name="Picture 1" descr="p?c1=2&amp;c2=7848742&amp;cv=2">
          <a:extLst>
            <a:ext uri="{FF2B5EF4-FFF2-40B4-BE49-F238E27FC236}">
              <a16:creationId xmlns:a16="http://schemas.microsoft.com/office/drawing/2014/main" id="{00000000-0008-0000-0400-00004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59" name="Picture 36" descr="p?c1=2&amp;c2=7848742&amp;cv=2">
          <a:extLst>
            <a:ext uri="{FF2B5EF4-FFF2-40B4-BE49-F238E27FC236}">
              <a16:creationId xmlns:a16="http://schemas.microsoft.com/office/drawing/2014/main" id="{00000000-0008-0000-0400-00004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0" name="Picture 1" descr="p?c1=2&amp;c2=7848742&amp;cv=2">
          <a:extLst>
            <a:ext uri="{FF2B5EF4-FFF2-40B4-BE49-F238E27FC236}">
              <a16:creationId xmlns:a16="http://schemas.microsoft.com/office/drawing/2014/main" id="{00000000-0008-0000-0400-00004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1" name="Picture 36" descr="p?c1=2&amp;c2=7848742&amp;cv=2">
          <a:extLst>
            <a:ext uri="{FF2B5EF4-FFF2-40B4-BE49-F238E27FC236}">
              <a16:creationId xmlns:a16="http://schemas.microsoft.com/office/drawing/2014/main" id="{00000000-0008-0000-0400-00004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2" name="Picture 1" descr="p?c1=2&amp;c2=7848742&amp;cv=2">
          <a:extLst>
            <a:ext uri="{FF2B5EF4-FFF2-40B4-BE49-F238E27FC236}">
              <a16:creationId xmlns:a16="http://schemas.microsoft.com/office/drawing/2014/main" id="{00000000-0008-0000-0400-00004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3" name="Picture 36" descr="p?c1=2&amp;c2=7848742&amp;cv=2">
          <a:extLst>
            <a:ext uri="{FF2B5EF4-FFF2-40B4-BE49-F238E27FC236}">
              <a16:creationId xmlns:a16="http://schemas.microsoft.com/office/drawing/2014/main" id="{00000000-0008-0000-0400-00004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4" name="Picture 1" descr="p?c1=2&amp;c2=7848742&amp;cv=2">
          <a:extLst>
            <a:ext uri="{FF2B5EF4-FFF2-40B4-BE49-F238E27FC236}">
              <a16:creationId xmlns:a16="http://schemas.microsoft.com/office/drawing/2014/main" id="{00000000-0008-0000-0400-00004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5" name="Picture 36" descr="p?c1=2&amp;c2=7848742&amp;cv=2">
          <a:extLst>
            <a:ext uri="{FF2B5EF4-FFF2-40B4-BE49-F238E27FC236}">
              <a16:creationId xmlns:a16="http://schemas.microsoft.com/office/drawing/2014/main" id="{00000000-0008-0000-0400-00004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6" name="Picture 1" descr="p?c1=2&amp;c2=7848742&amp;cv=2">
          <a:extLst>
            <a:ext uri="{FF2B5EF4-FFF2-40B4-BE49-F238E27FC236}">
              <a16:creationId xmlns:a16="http://schemas.microsoft.com/office/drawing/2014/main" id="{00000000-0008-0000-0400-00004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7" name="Picture 36" descr="p?c1=2&amp;c2=7848742&amp;cv=2">
          <a:extLst>
            <a:ext uri="{FF2B5EF4-FFF2-40B4-BE49-F238E27FC236}">
              <a16:creationId xmlns:a16="http://schemas.microsoft.com/office/drawing/2014/main" id="{00000000-0008-0000-0400-00004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8" name="Picture 1" descr="p?c1=2&amp;c2=7848742&amp;cv=2">
          <a:extLst>
            <a:ext uri="{FF2B5EF4-FFF2-40B4-BE49-F238E27FC236}">
              <a16:creationId xmlns:a16="http://schemas.microsoft.com/office/drawing/2014/main" id="{00000000-0008-0000-0400-00005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9" name="Picture 36" descr="p?c1=2&amp;c2=7848742&amp;cv=2">
          <a:extLst>
            <a:ext uri="{FF2B5EF4-FFF2-40B4-BE49-F238E27FC236}">
              <a16:creationId xmlns:a16="http://schemas.microsoft.com/office/drawing/2014/main" id="{00000000-0008-0000-0400-00005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0" name="Picture 1" descr="p?c1=2&amp;c2=7848742&amp;cv=2">
          <a:extLst>
            <a:ext uri="{FF2B5EF4-FFF2-40B4-BE49-F238E27FC236}">
              <a16:creationId xmlns:a16="http://schemas.microsoft.com/office/drawing/2014/main" id="{00000000-0008-0000-0400-00005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1" name="Picture 36" descr="p?c1=2&amp;c2=7848742&amp;cv=2">
          <a:extLst>
            <a:ext uri="{FF2B5EF4-FFF2-40B4-BE49-F238E27FC236}">
              <a16:creationId xmlns:a16="http://schemas.microsoft.com/office/drawing/2014/main" id="{00000000-0008-0000-0400-00005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2" name="Picture 1" descr="p?c1=2&amp;c2=7848742&amp;cv=2">
          <a:extLst>
            <a:ext uri="{FF2B5EF4-FFF2-40B4-BE49-F238E27FC236}">
              <a16:creationId xmlns:a16="http://schemas.microsoft.com/office/drawing/2014/main" id="{00000000-0008-0000-0400-00005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3" name="Picture 36" descr="p?c1=2&amp;c2=7848742&amp;cv=2">
          <a:extLst>
            <a:ext uri="{FF2B5EF4-FFF2-40B4-BE49-F238E27FC236}">
              <a16:creationId xmlns:a16="http://schemas.microsoft.com/office/drawing/2014/main" id="{00000000-0008-0000-0400-00005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4" name="Picture 1" descr="p?c1=2&amp;c2=7848742&amp;cv=2">
          <a:extLst>
            <a:ext uri="{FF2B5EF4-FFF2-40B4-BE49-F238E27FC236}">
              <a16:creationId xmlns:a16="http://schemas.microsoft.com/office/drawing/2014/main" id="{00000000-0008-0000-0400-00005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5" name="Picture 36" descr="p?c1=2&amp;c2=7848742&amp;cv=2">
          <a:extLst>
            <a:ext uri="{FF2B5EF4-FFF2-40B4-BE49-F238E27FC236}">
              <a16:creationId xmlns:a16="http://schemas.microsoft.com/office/drawing/2014/main" id="{00000000-0008-0000-0400-00005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6" name="Picture 1" descr="p?c1=2&amp;c2=7848742&amp;cv=2">
          <a:extLst>
            <a:ext uri="{FF2B5EF4-FFF2-40B4-BE49-F238E27FC236}">
              <a16:creationId xmlns:a16="http://schemas.microsoft.com/office/drawing/2014/main" id="{00000000-0008-0000-0400-00005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7" name="Picture 36" descr="p?c1=2&amp;c2=7848742&amp;cv=2">
          <a:extLst>
            <a:ext uri="{FF2B5EF4-FFF2-40B4-BE49-F238E27FC236}">
              <a16:creationId xmlns:a16="http://schemas.microsoft.com/office/drawing/2014/main" id="{00000000-0008-0000-0400-00005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8" name="Picture 1" descr="p?c1=2&amp;c2=7848742&amp;cv=2">
          <a:extLst>
            <a:ext uri="{FF2B5EF4-FFF2-40B4-BE49-F238E27FC236}">
              <a16:creationId xmlns:a16="http://schemas.microsoft.com/office/drawing/2014/main" id="{00000000-0008-0000-0400-00005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9" name="Picture 36" descr="p?c1=2&amp;c2=7848742&amp;cv=2">
          <a:extLst>
            <a:ext uri="{FF2B5EF4-FFF2-40B4-BE49-F238E27FC236}">
              <a16:creationId xmlns:a16="http://schemas.microsoft.com/office/drawing/2014/main" id="{00000000-0008-0000-0400-00005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0" name="Picture 1" descr="p?c1=2&amp;c2=7848742&amp;cv=2">
          <a:extLst>
            <a:ext uri="{FF2B5EF4-FFF2-40B4-BE49-F238E27FC236}">
              <a16:creationId xmlns:a16="http://schemas.microsoft.com/office/drawing/2014/main" id="{00000000-0008-0000-0400-00005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1" name="Picture 36" descr="p?c1=2&amp;c2=7848742&amp;cv=2">
          <a:extLst>
            <a:ext uri="{FF2B5EF4-FFF2-40B4-BE49-F238E27FC236}">
              <a16:creationId xmlns:a16="http://schemas.microsoft.com/office/drawing/2014/main" id="{00000000-0008-0000-0400-00005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2" name="Picture 1" descr="p?c1=2&amp;c2=7848742&amp;cv=2">
          <a:extLst>
            <a:ext uri="{FF2B5EF4-FFF2-40B4-BE49-F238E27FC236}">
              <a16:creationId xmlns:a16="http://schemas.microsoft.com/office/drawing/2014/main" id="{00000000-0008-0000-0400-00005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3" name="Picture 36" descr="p?c1=2&amp;c2=7848742&amp;cv=2">
          <a:extLst>
            <a:ext uri="{FF2B5EF4-FFF2-40B4-BE49-F238E27FC236}">
              <a16:creationId xmlns:a16="http://schemas.microsoft.com/office/drawing/2014/main" id="{00000000-0008-0000-0400-00005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4" name="Picture 1" descr="p?c1=2&amp;c2=7848742&amp;cv=2">
          <a:extLst>
            <a:ext uri="{FF2B5EF4-FFF2-40B4-BE49-F238E27FC236}">
              <a16:creationId xmlns:a16="http://schemas.microsoft.com/office/drawing/2014/main" id="{00000000-0008-0000-0400-00006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5" name="Picture 36" descr="p?c1=2&amp;c2=7848742&amp;cv=2">
          <a:extLst>
            <a:ext uri="{FF2B5EF4-FFF2-40B4-BE49-F238E27FC236}">
              <a16:creationId xmlns:a16="http://schemas.microsoft.com/office/drawing/2014/main" id="{00000000-0008-0000-0400-00006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6" name="Picture 1" descr="p?c1=2&amp;c2=7848742&amp;cv=2">
          <a:extLst>
            <a:ext uri="{FF2B5EF4-FFF2-40B4-BE49-F238E27FC236}">
              <a16:creationId xmlns:a16="http://schemas.microsoft.com/office/drawing/2014/main" id="{00000000-0008-0000-0400-00006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7" name="Picture 36" descr="p?c1=2&amp;c2=7848742&amp;cv=2">
          <a:extLst>
            <a:ext uri="{FF2B5EF4-FFF2-40B4-BE49-F238E27FC236}">
              <a16:creationId xmlns:a16="http://schemas.microsoft.com/office/drawing/2014/main" id="{00000000-0008-0000-0400-00006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8" name="Picture 1" descr="p?c1=2&amp;c2=7848742&amp;cv=2">
          <a:extLst>
            <a:ext uri="{FF2B5EF4-FFF2-40B4-BE49-F238E27FC236}">
              <a16:creationId xmlns:a16="http://schemas.microsoft.com/office/drawing/2014/main" id="{00000000-0008-0000-0400-00006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9" name="Picture 36" descr="p?c1=2&amp;c2=7848742&amp;cv=2">
          <a:extLst>
            <a:ext uri="{FF2B5EF4-FFF2-40B4-BE49-F238E27FC236}">
              <a16:creationId xmlns:a16="http://schemas.microsoft.com/office/drawing/2014/main" id="{00000000-0008-0000-0400-00006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0" name="Picture 1" descr="p?c1=2&amp;c2=7848742&amp;cv=2">
          <a:extLst>
            <a:ext uri="{FF2B5EF4-FFF2-40B4-BE49-F238E27FC236}">
              <a16:creationId xmlns:a16="http://schemas.microsoft.com/office/drawing/2014/main" id="{00000000-0008-0000-0400-00006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1" name="Picture 36" descr="p?c1=2&amp;c2=7848742&amp;cv=2">
          <a:extLst>
            <a:ext uri="{FF2B5EF4-FFF2-40B4-BE49-F238E27FC236}">
              <a16:creationId xmlns:a16="http://schemas.microsoft.com/office/drawing/2014/main" id="{00000000-0008-0000-0400-00006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2" name="Picture 1" descr="p?c1=2&amp;c2=7848742&amp;cv=2">
          <a:extLst>
            <a:ext uri="{FF2B5EF4-FFF2-40B4-BE49-F238E27FC236}">
              <a16:creationId xmlns:a16="http://schemas.microsoft.com/office/drawing/2014/main" id="{00000000-0008-0000-0400-00006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3" name="Picture 36" descr="p?c1=2&amp;c2=7848742&amp;cv=2">
          <a:extLst>
            <a:ext uri="{FF2B5EF4-FFF2-40B4-BE49-F238E27FC236}">
              <a16:creationId xmlns:a16="http://schemas.microsoft.com/office/drawing/2014/main" id="{00000000-0008-0000-0400-00006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4" name="Picture 1" descr="p?c1=2&amp;c2=7848742&amp;cv=2">
          <a:extLst>
            <a:ext uri="{FF2B5EF4-FFF2-40B4-BE49-F238E27FC236}">
              <a16:creationId xmlns:a16="http://schemas.microsoft.com/office/drawing/2014/main" id="{00000000-0008-0000-0400-00006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5" name="Picture 36" descr="p?c1=2&amp;c2=7848742&amp;cv=2">
          <a:extLst>
            <a:ext uri="{FF2B5EF4-FFF2-40B4-BE49-F238E27FC236}">
              <a16:creationId xmlns:a16="http://schemas.microsoft.com/office/drawing/2014/main" id="{00000000-0008-0000-0400-00006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6" name="Picture 1" descr="p?c1=2&amp;c2=7848742&amp;cv=2">
          <a:extLst>
            <a:ext uri="{FF2B5EF4-FFF2-40B4-BE49-F238E27FC236}">
              <a16:creationId xmlns:a16="http://schemas.microsoft.com/office/drawing/2014/main" id="{00000000-0008-0000-0400-00006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7" name="Picture 36" descr="p?c1=2&amp;c2=7848742&amp;cv=2">
          <a:extLst>
            <a:ext uri="{FF2B5EF4-FFF2-40B4-BE49-F238E27FC236}">
              <a16:creationId xmlns:a16="http://schemas.microsoft.com/office/drawing/2014/main" id="{00000000-0008-0000-0400-00006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8" name="Picture 1" descr="p?c1=2&amp;c2=7848742&amp;cv=2">
          <a:extLst>
            <a:ext uri="{FF2B5EF4-FFF2-40B4-BE49-F238E27FC236}">
              <a16:creationId xmlns:a16="http://schemas.microsoft.com/office/drawing/2014/main" id="{00000000-0008-0000-0400-00006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9" name="Picture 36" descr="p?c1=2&amp;c2=7848742&amp;cv=2">
          <a:extLst>
            <a:ext uri="{FF2B5EF4-FFF2-40B4-BE49-F238E27FC236}">
              <a16:creationId xmlns:a16="http://schemas.microsoft.com/office/drawing/2014/main" id="{00000000-0008-0000-0400-00006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0" name="Picture 1" descr="p?c1=2&amp;c2=7848742&amp;cv=2">
          <a:extLst>
            <a:ext uri="{FF2B5EF4-FFF2-40B4-BE49-F238E27FC236}">
              <a16:creationId xmlns:a16="http://schemas.microsoft.com/office/drawing/2014/main" id="{00000000-0008-0000-0400-00007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1" name="Picture 36" descr="p?c1=2&amp;c2=7848742&amp;cv=2">
          <a:extLst>
            <a:ext uri="{FF2B5EF4-FFF2-40B4-BE49-F238E27FC236}">
              <a16:creationId xmlns:a16="http://schemas.microsoft.com/office/drawing/2014/main" id="{00000000-0008-0000-0400-00007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2" name="Picture 1" descr="p?c1=2&amp;c2=7848742&amp;cv=2">
          <a:extLst>
            <a:ext uri="{FF2B5EF4-FFF2-40B4-BE49-F238E27FC236}">
              <a16:creationId xmlns:a16="http://schemas.microsoft.com/office/drawing/2014/main" id="{00000000-0008-0000-0400-00007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3" name="Picture 36" descr="p?c1=2&amp;c2=7848742&amp;cv=2">
          <a:extLst>
            <a:ext uri="{FF2B5EF4-FFF2-40B4-BE49-F238E27FC236}">
              <a16:creationId xmlns:a16="http://schemas.microsoft.com/office/drawing/2014/main" id="{00000000-0008-0000-0400-00007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4" name="Picture 1" descr="p?c1=2&amp;c2=7848742&amp;cv=2">
          <a:extLst>
            <a:ext uri="{FF2B5EF4-FFF2-40B4-BE49-F238E27FC236}">
              <a16:creationId xmlns:a16="http://schemas.microsoft.com/office/drawing/2014/main" id="{00000000-0008-0000-0400-00007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5" name="Picture 36" descr="p?c1=2&amp;c2=7848742&amp;cv=2">
          <a:extLst>
            <a:ext uri="{FF2B5EF4-FFF2-40B4-BE49-F238E27FC236}">
              <a16:creationId xmlns:a16="http://schemas.microsoft.com/office/drawing/2014/main" id="{00000000-0008-0000-0400-00007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6" name="Picture 1" descr="p?c1=2&amp;c2=7848742&amp;cv=2">
          <a:extLst>
            <a:ext uri="{FF2B5EF4-FFF2-40B4-BE49-F238E27FC236}">
              <a16:creationId xmlns:a16="http://schemas.microsoft.com/office/drawing/2014/main" id="{00000000-0008-0000-0400-00007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7" name="Picture 36" descr="p?c1=2&amp;c2=7848742&amp;cv=2">
          <a:extLst>
            <a:ext uri="{FF2B5EF4-FFF2-40B4-BE49-F238E27FC236}">
              <a16:creationId xmlns:a16="http://schemas.microsoft.com/office/drawing/2014/main" id="{00000000-0008-0000-0400-00007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8" name="Picture 1" descr="p?c1=2&amp;c2=7848742&amp;cv=2">
          <a:extLst>
            <a:ext uri="{FF2B5EF4-FFF2-40B4-BE49-F238E27FC236}">
              <a16:creationId xmlns:a16="http://schemas.microsoft.com/office/drawing/2014/main" id="{00000000-0008-0000-0400-00007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9" name="Picture 36" descr="p?c1=2&amp;c2=7848742&amp;cv=2">
          <a:extLst>
            <a:ext uri="{FF2B5EF4-FFF2-40B4-BE49-F238E27FC236}">
              <a16:creationId xmlns:a16="http://schemas.microsoft.com/office/drawing/2014/main" id="{00000000-0008-0000-0400-00007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0" name="Picture 1" descr="p?c1=2&amp;c2=7848742&amp;cv=2">
          <a:extLst>
            <a:ext uri="{FF2B5EF4-FFF2-40B4-BE49-F238E27FC236}">
              <a16:creationId xmlns:a16="http://schemas.microsoft.com/office/drawing/2014/main" id="{00000000-0008-0000-0400-00007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1" name="Picture 36" descr="p?c1=2&amp;c2=7848742&amp;cv=2">
          <a:extLst>
            <a:ext uri="{FF2B5EF4-FFF2-40B4-BE49-F238E27FC236}">
              <a16:creationId xmlns:a16="http://schemas.microsoft.com/office/drawing/2014/main" id="{00000000-0008-0000-0400-00007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2" name="Picture 1" descr="p?c1=2&amp;c2=7848742&amp;cv=2">
          <a:extLst>
            <a:ext uri="{FF2B5EF4-FFF2-40B4-BE49-F238E27FC236}">
              <a16:creationId xmlns:a16="http://schemas.microsoft.com/office/drawing/2014/main" id="{00000000-0008-0000-0400-00007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3" name="Picture 36" descr="p?c1=2&amp;c2=7848742&amp;cv=2">
          <a:extLst>
            <a:ext uri="{FF2B5EF4-FFF2-40B4-BE49-F238E27FC236}">
              <a16:creationId xmlns:a16="http://schemas.microsoft.com/office/drawing/2014/main" id="{00000000-0008-0000-0400-00007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4" name="Picture 1" descr="p?c1=2&amp;c2=7848742&amp;cv=2">
          <a:extLst>
            <a:ext uri="{FF2B5EF4-FFF2-40B4-BE49-F238E27FC236}">
              <a16:creationId xmlns:a16="http://schemas.microsoft.com/office/drawing/2014/main" id="{00000000-0008-0000-0400-00007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5" name="Picture 36" descr="p?c1=2&amp;c2=7848742&amp;cv=2">
          <a:extLst>
            <a:ext uri="{FF2B5EF4-FFF2-40B4-BE49-F238E27FC236}">
              <a16:creationId xmlns:a16="http://schemas.microsoft.com/office/drawing/2014/main" id="{00000000-0008-0000-0400-00007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6" name="Picture 1" descr="p?c1=2&amp;c2=7848742&amp;cv=2">
          <a:extLst>
            <a:ext uri="{FF2B5EF4-FFF2-40B4-BE49-F238E27FC236}">
              <a16:creationId xmlns:a16="http://schemas.microsoft.com/office/drawing/2014/main" id="{00000000-0008-0000-0400-00008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7" name="Picture 36" descr="p?c1=2&amp;c2=7848742&amp;cv=2">
          <a:extLst>
            <a:ext uri="{FF2B5EF4-FFF2-40B4-BE49-F238E27FC236}">
              <a16:creationId xmlns:a16="http://schemas.microsoft.com/office/drawing/2014/main" id="{00000000-0008-0000-0400-00008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8" name="Picture 1" descr="p?c1=2&amp;c2=7848742&amp;cv=2">
          <a:extLst>
            <a:ext uri="{FF2B5EF4-FFF2-40B4-BE49-F238E27FC236}">
              <a16:creationId xmlns:a16="http://schemas.microsoft.com/office/drawing/2014/main" id="{00000000-0008-0000-0400-00008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9" name="Picture 36" descr="p?c1=2&amp;c2=7848742&amp;cv=2">
          <a:extLst>
            <a:ext uri="{FF2B5EF4-FFF2-40B4-BE49-F238E27FC236}">
              <a16:creationId xmlns:a16="http://schemas.microsoft.com/office/drawing/2014/main" id="{00000000-0008-0000-0400-00008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20" name="Picture 1" descr="p?c1=2&amp;c2=7848742&amp;cv=2">
          <a:extLst>
            <a:ext uri="{FF2B5EF4-FFF2-40B4-BE49-F238E27FC236}">
              <a16:creationId xmlns:a16="http://schemas.microsoft.com/office/drawing/2014/main" id="{00000000-0008-0000-0400-00008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21" name="Picture 36" descr="p?c1=2&amp;c2=7848742&amp;cv=2">
          <a:extLst>
            <a:ext uri="{FF2B5EF4-FFF2-40B4-BE49-F238E27FC236}">
              <a16:creationId xmlns:a16="http://schemas.microsoft.com/office/drawing/2014/main" id="{00000000-0008-0000-0400-00008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3" name="Picture 1" descr="p?c1=2&amp;c2=7848742&amp;cv=2">
          <a:extLst>
            <a:ext uri="{FF2B5EF4-FFF2-40B4-BE49-F238E27FC236}">
              <a16:creationId xmlns:a16="http://schemas.microsoft.com/office/drawing/2014/main" id="{00000000-0008-0000-0500-00008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4" name="Picture 36" descr="p?c1=2&amp;c2=7848742&amp;cv=2">
          <a:extLst>
            <a:ext uri="{FF2B5EF4-FFF2-40B4-BE49-F238E27FC236}">
              <a16:creationId xmlns:a16="http://schemas.microsoft.com/office/drawing/2014/main" id="{00000000-0008-0000-0500-00008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5" name="Picture 1" descr="p?c1=2&amp;c2=7848742&amp;cv=2">
          <a:extLst>
            <a:ext uri="{FF2B5EF4-FFF2-40B4-BE49-F238E27FC236}">
              <a16:creationId xmlns:a16="http://schemas.microsoft.com/office/drawing/2014/main" id="{00000000-0008-0000-0500-00008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6" name="Picture 36" descr="p?c1=2&amp;c2=7848742&amp;cv=2">
          <a:extLst>
            <a:ext uri="{FF2B5EF4-FFF2-40B4-BE49-F238E27FC236}">
              <a16:creationId xmlns:a16="http://schemas.microsoft.com/office/drawing/2014/main" id="{00000000-0008-0000-0500-00008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7" name="Picture 1" descr="p?c1=2&amp;c2=7848742&amp;cv=2">
          <a:extLst>
            <a:ext uri="{FF2B5EF4-FFF2-40B4-BE49-F238E27FC236}">
              <a16:creationId xmlns:a16="http://schemas.microsoft.com/office/drawing/2014/main" id="{00000000-0008-0000-0500-00008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8" name="Picture 36" descr="p?c1=2&amp;c2=7848742&amp;cv=2">
          <a:extLst>
            <a:ext uri="{FF2B5EF4-FFF2-40B4-BE49-F238E27FC236}">
              <a16:creationId xmlns:a16="http://schemas.microsoft.com/office/drawing/2014/main" id="{00000000-0008-0000-0500-00008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9" name="Picture 1" descr="p?c1=2&amp;c2=7848742&amp;cv=2">
          <a:extLst>
            <a:ext uri="{FF2B5EF4-FFF2-40B4-BE49-F238E27FC236}">
              <a16:creationId xmlns:a16="http://schemas.microsoft.com/office/drawing/2014/main" id="{00000000-0008-0000-0500-00008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0" name="Picture 36" descr="p?c1=2&amp;c2=7848742&amp;cv=2">
          <a:extLst>
            <a:ext uri="{FF2B5EF4-FFF2-40B4-BE49-F238E27FC236}">
              <a16:creationId xmlns:a16="http://schemas.microsoft.com/office/drawing/2014/main" id="{00000000-0008-0000-0500-00008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1" name="Picture 1" descr="p?c1=2&amp;c2=7848742&amp;cv=2">
          <a:extLst>
            <a:ext uri="{FF2B5EF4-FFF2-40B4-BE49-F238E27FC236}">
              <a16:creationId xmlns:a16="http://schemas.microsoft.com/office/drawing/2014/main" id="{00000000-0008-0000-0500-00008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2" name="Picture 36" descr="p?c1=2&amp;c2=7848742&amp;cv=2">
          <a:extLst>
            <a:ext uri="{FF2B5EF4-FFF2-40B4-BE49-F238E27FC236}">
              <a16:creationId xmlns:a16="http://schemas.microsoft.com/office/drawing/2014/main" id="{00000000-0008-0000-0500-00008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3" name="Picture 1" descr="p?c1=2&amp;c2=7848742&amp;cv=2">
          <a:extLst>
            <a:ext uri="{FF2B5EF4-FFF2-40B4-BE49-F238E27FC236}">
              <a16:creationId xmlns:a16="http://schemas.microsoft.com/office/drawing/2014/main" id="{00000000-0008-0000-0500-00008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4" name="Picture 36" descr="p?c1=2&amp;c2=7848742&amp;cv=2">
          <a:extLst>
            <a:ext uri="{FF2B5EF4-FFF2-40B4-BE49-F238E27FC236}">
              <a16:creationId xmlns:a16="http://schemas.microsoft.com/office/drawing/2014/main" id="{00000000-0008-0000-0500-00008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5" name="Picture 1" descr="p?c1=2&amp;c2=7848742&amp;cv=2">
          <a:extLst>
            <a:ext uri="{FF2B5EF4-FFF2-40B4-BE49-F238E27FC236}">
              <a16:creationId xmlns:a16="http://schemas.microsoft.com/office/drawing/2014/main" id="{00000000-0008-0000-0500-00008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6" name="Picture 36" descr="p?c1=2&amp;c2=7848742&amp;cv=2">
          <a:extLst>
            <a:ext uri="{FF2B5EF4-FFF2-40B4-BE49-F238E27FC236}">
              <a16:creationId xmlns:a16="http://schemas.microsoft.com/office/drawing/2014/main" id="{00000000-0008-0000-0500-00008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7" name="Picture 1" descr="p?c1=2&amp;c2=7848742&amp;cv=2">
          <a:extLst>
            <a:ext uri="{FF2B5EF4-FFF2-40B4-BE49-F238E27FC236}">
              <a16:creationId xmlns:a16="http://schemas.microsoft.com/office/drawing/2014/main" id="{00000000-0008-0000-0500-00008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8" name="Picture 36" descr="p?c1=2&amp;c2=7848742&amp;cv=2">
          <a:extLst>
            <a:ext uri="{FF2B5EF4-FFF2-40B4-BE49-F238E27FC236}">
              <a16:creationId xmlns:a16="http://schemas.microsoft.com/office/drawing/2014/main" id="{00000000-0008-0000-0500-00009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9" name="Picture 1" descr="p?c1=2&amp;c2=7848742&amp;cv=2">
          <a:extLst>
            <a:ext uri="{FF2B5EF4-FFF2-40B4-BE49-F238E27FC236}">
              <a16:creationId xmlns:a16="http://schemas.microsoft.com/office/drawing/2014/main" id="{00000000-0008-0000-0500-00009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0" name="Picture 36" descr="p?c1=2&amp;c2=7848742&amp;cv=2">
          <a:extLst>
            <a:ext uri="{FF2B5EF4-FFF2-40B4-BE49-F238E27FC236}">
              <a16:creationId xmlns:a16="http://schemas.microsoft.com/office/drawing/2014/main" id="{00000000-0008-0000-0500-00009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1" name="Picture 1" descr="p?c1=2&amp;c2=7848742&amp;cv=2">
          <a:extLst>
            <a:ext uri="{FF2B5EF4-FFF2-40B4-BE49-F238E27FC236}">
              <a16:creationId xmlns:a16="http://schemas.microsoft.com/office/drawing/2014/main" id="{00000000-0008-0000-0500-00009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2" name="Picture 36" descr="p?c1=2&amp;c2=7848742&amp;cv=2">
          <a:extLst>
            <a:ext uri="{FF2B5EF4-FFF2-40B4-BE49-F238E27FC236}">
              <a16:creationId xmlns:a16="http://schemas.microsoft.com/office/drawing/2014/main" id="{00000000-0008-0000-0500-00009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3" name="Picture 1" descr="p?c1=2&amp;c2=7848742&amp;cv=2">
          <a:extLst>
            <a:ext uri="{FF2B5EF4-FFF2-40B4-BE49-F238E27FC236}">
              <a16:creationId xmlns:a16="http://schemas.microsoft.com/office/drawing/2014/main" id="{00000000-0008-0000-0500-00009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4" name="Picture 36" descr="p?c1=2&amp;c2=7848742&amp;cv=2">
          <a:extLst>
            <a:ext uri="{FF2B5EF4-FFF2-40B4-BE49-F238E27FC236}">
              <a16:creationId xmlns:a16="http://schemas.microsoft.com/office/drawing/2014/main" id="{00000000-0008-0000-0500-00009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5" name="Picture 1" descr="p?c1=2&amp;c2=7848742&amp;cv=2">
          <a:extLst>
            <a:ext uri="{FF2B5EF4-FFF2-40B4-BE49-F238E27FC236}">
              <a16:creationId xmlns:a16="http://schemas.microsoft.com/office/drawing/2014/main" id="{00000000-0008-0000-0500-00009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6" name="Picture 36" descr="p?c1=2&amp;c2=7848742&amp;cv=2">
          <a:extLst>
            <a:ext uri="{FF2B5EF4-FFF2-40B4-BE49-F238E27FC236}">
              <a16:creationId xmlns:a16="http://schemas.microsoft.com/office/drawing/2014/main" id="{00000000-0008-0000-0500-00009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7" name="Picture 1" descr="p?c1=2&amp;c2=7848742&amp;cv=2">
          <a:extLst>
            <a:ext uri="{FF2B5EF4-FFF2-40B4-BE49-F238E27FC236}">
              <a16:creationId xmlns:a16="http://schemas.microsoft.com/office/drawing/2014/main" id="{00000000-0008-0000-0500-00009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8" name="Picture 36" descr="p?c1=2&amp;c2=7848742&amp;cv=2">
          <a:extLst>
            <a:ext uri="{FF2B5EF4-FFF2-40B4-BE49-F238E27FC236}">
              <a16:creationId xmlns:a16="http://schemas.microsoft.com/office/drawing/2014/main" id="{00000000-0008-0000-0500-00009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9" name="Picture 1" descr="p?c1=2&amp;c2=7848742&amp;cv=2">
          <a:extLst>
            <a:ext uri="{FF2B5EF4-FFF2-40B4-BE49-F238E27FC236}">
              <a16:creationId xmlns:a16="http://schemas.microsoft.com/office/drawing/2014/main" id="{00000000-0008-0000-0500-00009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0" name="Picture 36" descr="p?c1=2&amp;c2=7848742&amp;cv=2">
          <a:extLst>
            <a:ext uri="{FF2B5EF4-FFF2-40B4-BE49-F238E27FC236}">
              <a16:creationId xmlns:a16="http://schemas.microsoft.com/office/drawing/2014/main" id="{00000000-0008-0000-0500-00009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1" name="Picture 1" descr="p?c1=2&amp;c2=7848742&amp;cv=2">
          <a:extLst>
            <a:ext uri="{FF2B5EF4-FFF2-40B4-BE49-F238E27FC236}">
              <a16:creationId xmlns:a16="http://schemas.microsoft.com/office/drawing/2014/main" id="{00000000-0008-0000-0500-00009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2" name="Picture 36" descr="p?c1=2&amp;c2=7848742&amp;cv=2">
          <a:extLst>
            <a:ext uri="{FF2B5EF4-FFF2-40B4-BE49-F238E27FC236}">
              <a16:creationId xmlns:a16="http://schemas.microsoft.com/office/drawing/2014/main" id="{00000000-0008-0000-0500-00009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3" name="Picture 1" descr="p?c1=2&amp;c2=7848742&amp;cv=2">
          <a:extLst>
            <a:ext uri="{FF2B5EF4-FFF2-40B4-BE49-F238E27FC236}">
              <a16:creationId xmlns:a16="http://schemas.microsoft.com/office/drawing/2014/main" id="{00000000-0008-0000-0500-00009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4" name="Picture 36" descr="p?c1=2&amp;c2=7848742&amp;cv=2">
          <a:extLst>
            <a:ext uri="{FF2B5EF4-FFF2-40B4-BE49-F238E27FC236}">
              <a16:creationId xmlns:a16="http://schemas.microsoft.com/office/drawing/2014/main" id="{00000000-0008-0000-0500-0000A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5" name="Picture 1" descr="p?c1=2&amp;c2=7848742&amp;cv=2">
          <a:extLst>
            <a:ext uri="{FF2B5EF4-FFF2-40B4-BE49-F238E27FC236}">
              <a16:creationId xmlns:a16="http://schemas.microsoft.com/office/drawing/2014/main" id="{00000000-0008-0000-0500-0000A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6" name="Picture 36" descr="p?c1=2&amp;c2=7848742&amp;cv=2">
          <a:extLst>
            <a:ext uri="{FF2B5EF4-FFF2-40B4-BE49-F238E27FC236}">
              <a16:creationId xmlns:a16="http://schemas.microsoft.com/office/drawing/2014/main" id="{00000000-0008-0000-0500-0000A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7" name="Picture 1" descr="p?c1=2&amp;c2=7848742&amp;cv=2">
          <a:extLst>
            <a:ext uri="{FF2B5EF4-FFF2-40B4-BE49-F238E27FC236}">
              <a16:creationId xmlns:a16="http://schemas.microsoft.com/office/drawing/2014/main" id="{00000000-0008-0000-0500-0000A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8" name="Picture 36" descr="p?c1=2&amp;c2=7848742&amp;cv=2">
          <a:extLst>
            <a:ext uri="{FF2B5EF4-FFF2-40B4-BE49-F238E27FC236}">
              <a16:creationId xmlns:a16="http://schemas.microsoft.com/office/drawing/2014/main" id="{00000000-0008-0000-0500-0000A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9" name="Picture 1" descr="p?c1=2&amp;c2=7848742&amp;cv=2">
          <a:extLst>
            <a:ext uri="{FF2B5EF4-FFF2-40B4-BE49-F238E27FC236}">
              <a16:creationId xmlns:a16="http://schemas.microsoft.com/office/drawing/2014/main" id="{00000000-0008-0000-0500-0000A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0" name="Picture 36" descr="p?c1=2&amp;c2=7848742&amp;cv=2">
          <a:extLst>
            <a:ext uri="{FF2B5EF4-FFF2-40B4-BE49-F238E27FC236}">
              <a16:creationId xmlns:a16="http://schemas.microsoft.com/office/drawing/2014/main" id="{00000000-0008-0000-0500-0000A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1" name="Picture 1" descr="p?c1=2&amp;c2=7848742&amp;cv=2">
          <a:extLst>
            <a:ext uri="{FF2B5EF4-FFF2-40B4-BE49-F238E27FC236}">
              <a16:creationId xmlns:a16="http://schemas.microsoft.com/office/drawing/2014/main" id="{00000000-0008-0000-0500-0000A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2" name="Picture 36" descr="p?c1=2&amp;c2=7848742&amp;cv=2">
          <a:extLst>
            <a:ext uri="{FF2B5EF4-FFF2-40B4-BE49-F238E27FC236}">
              <a16:creationId xmlns:a16="http://schemas.microsoft.com/office/drawing/2014/main" id="{00000000-0008-0000-0500-0000A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3" name="Picture 1" descr="p?c1=2&amp;c2=7848742&amp;cv=2">
          <a:extLst>
            <a:ext uri="{FF2B5EF4-FFF2-40B4-BE49-F238E27FC236}">
              <a16:creationId xmlns:a16="http://schemas.microsoft.com/office/drawing/2014/main" id="{00000000-0008-0000-0500-0000A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4" name="Picture 36" descr="p?c1=2&amp;c2=7848742&amp;cv=2">
          <a:extLst>
            <a:ext uri="{FF2B5EF4-FFF2-40B4-BE49-F238E27FC236}">
              <a16:creationId xmlns:a16="http://schemas.microsoft.com/office/drawing/2014/main" id="{00000000-0008-0000-0500-0000A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5" name="Picture 1" descr="p?c1=2&amp;c2=7848742&amp;cv=2">
          <a:extLst>
            <a:ext uri="{FF2B5EF4-FFF2-40B4-BE49-F238E27FC236}">
              <a16:creationId xmlns:a16="http://schemas.microsoft.com/office/drawing/2014/main" id="{00000000-0008-0000-0500-0000A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6" name="Picture 36" descr="p?c1=2&amp;c2=7848742&amp;cv=2">
          <a:extLst>
            <a:ext uri="{FF2B5EF4-FFF2-40B4-BE49-F238E27FC236}">
              <a16:creationId xmlns:a16="http://schemas.microsoft.com/office/drawing/2014/main" id="{00000000-0008-0000-0500-0000A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7" name="Picture 1" descr="p?c1=2&amp;c2=7848742&amp;cv=2">
          <a:extLst>
            <a:ext uri="{FF2B5EF4-FFF2-40B4-BE49-F238E27FC236}">
              <a16:creationId xmlns:a16="http://schemas.microsoft.com/office/drawing/2014/main" id="{00000000-0008-0000-0500-0000A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8" name="Picture 36" descr="p?c1=2&amp;c2=7848742&amp;cv=2">
          <a:extLst>
            <a:ext uri="{FF2B5EF4-FFF2-40B4-BE49-F238E27FC236}">
              <a16:creationId xmlns:a16="http://schemas.microsoft.com/office/drawing/2014/main" id="{00000000-0008-0000-0500-0000A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9" name="Picture 1" descr="p?c1=2&amp;c2=7848742&amp;cv=2">
          <a:extLst>
            <a:ext uri="{FF2B5EF4-FFF2-40B4-BE49-F238E27FC236}">
              <a16:creationId xmlns:a16="http://schemas.microsoft.com/office/drawing/2014/main" id="{00000000-0008-0000-0500-0000A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0" name="Picture 36" descr="p?c1=2&amp;c2=7848742&amp;cv=2">
          <a:extLst>
            <a:ext uri="{FF2B5EF4-FFF2-40B4-BE49-F238E27FC236}">
              <a16:creationId xmlns:a16="http://schemas.microsoft.com/office/drawing/2014/main" id="{00000000-0008-0000-0500-0000B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1" name="Picture 1" descr="p?c1=2&amp;c2=7848742&amp;cv=2">
          <a:extLst>
            <a:ext uri="{FF2B5EF4-FFF2-40B4-BE49-F238E27FC236}">
              <a16:creationId xmlns:a16="http://schemas.microsoft.com/office/drawing/2014/main" id="{00000000-0008-0000-0500-0000B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2" name="Picture 36" descr="p?c1=2&amp;c2=7848742&amp;cv=2">
          <a:extLst>
            <a:ext uri="{FF2B5EF4-FFF2-40B4-BE49-F238E27FC236}">
              <a16:creationId xmlns:a16="http://schemas.microsoft.com/office/drawing/2014/main" id="{00000000-0008-0000-0500-0000B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3" name="Picture 1" descr="p?c1=2&amp;c2=7848742&amp;cv=2">
          <a:extLst>
            <a:ext uri="{FF2B5EF4-FFF2-40B4-BE49-F238E27FC236}">
              <a16:creationId xmlns:a16="http://schemas.microsoft.com/office/drawing/2014/main" id="{00000000-0008-0000-0500-0000B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4" name="Picture 36" descr="p?c1=2&amp;c2=7848742&amp;cv=2">
          <a:extLst>
            <a:ext uri="{FF2B5EF4-FFF2-40B4-BE49-F238E27FC236}">
              <a16:creationId xmlns:a16="http://schemas.microsoft.com/office/drawing/2014/main" id="{00000000-0008-0000-0500-0000B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5" name="Picture 1" descr="p?c1=2&amp;c2=7848742&amp;cv=2">
          <a:extLst>
            <a:ext uri="{FF2B5EF4-FFF2-40B4-BE49-F238E27FC236}">
              <a16:creationId xmlns:a16="http://schemas.microsoft.com/office/drawing/2014/main" id="{00000000-0008-0000-0500-0000B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6" name="Picture 36" descr="p?c1=2&amp;c2=7848742&amp;cv=2">
          <a:extLst>
            <a:ext uri="{FF2B5EF4-FFF2-40B4-BE49-F238E27FC236}">
              <a16:creationId xmlns:a16="http://schemas.microsoft.com/office/drawing/2014/main" id="{00000000-0008-0000-0500-0000B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7" name="Picture 1" descr="p?c1=2&amp;c2=7848742&amp;cv=2">
          <a:extLst>
            <a:ext uri="{FF2B5EF4-FFF2-40B4-BE49-F238E27FC236}">
              <a16:creationId xmlns:a16="http://schemas.microsoft.com/office/drawing/2014/main" id="{00000000-0008-0000-0500-0000B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8" name="Picture 36" descr="p?c1=2&amp;c2=7848742&amp;cv=2">
          <a:extLst>
            <a:ext uri="{FF2B5EF4-FFF2-40B4-BE49-F238E27FC236}">
              <a16:creationId xmlns:a16="http://schemas.microsoft.com/office/drawing/2014/main" id="{00000000-0008-0000-0500-0000B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9" name="Picture 1" descr="p?c1=2&amp;c2=7848742&amp;cv=2">
          <a:extLst>
            <a:ext uri="{FF2B5EF4-FFF2-40B4-BE49-F238E27FC236}">
              <a16:creationId xmlns:a16="http://schemas.microsoft.com/office/drawing/2014/main" id="{00000000-0008-0000-0500-0000B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0" name="Picture 36" descr="p?c1=2&amp;c2=7848742&amp;cv=2">
          <a:extLst>
            <a:ext uri="{FF2B5EF4-FFF2-40B4-BE49-F238E27FC236}">
              <a16:creationId xmlns:a16="http://schemas.microsoft.com/office/drawing/2014/main" id="{00000000-0008-0000-0500-0000B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1" name="Picture 1" descr="p?c1=2&amp;c2=7848742&amp;cv=2">
          <a:extLst>
            <a:ext uri="{FF2B5EF4-FFF2-40B4-BE49-F238E27FC236}">
              <a16:creationId xmlns:a16="http://schemas.microsoft.com/office/drawing/2014/main" id="{00000000-0008-0000-0500-0000B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2" name="Picture 36" descr="p?c1=2&amp;c2=7848742&amp;cv=2">
          <a:extLst>
            <a:ext uri="{FF2B5EF4-FFF2-40B4-BE49-F238E27FC236}">
              <a16:creationId xmlns:a16="http://schemas.microsoft.com/office/drawing/2014/main" id="{00000000-0008-0000-0500-0000B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3" name="Picture 1" descr="p?c1=2&amp;c2=7848742&amp;cv=2">
          <a:extLst>
            <a:ext uri="{FF2B5EF4-FFF2-40B4-BE49-F238E27FC236}">
              <a16:creationId xmlns:a16="http://schemas.microsoft.com/office/drawing/2014/main" id="{00000000-0008-0000-0500-0000B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4" name="Picture 36" descr="p?c1=2&amp;c2=7848742&amp;cv=2">
          <a:extLst>
            <a:ext uri="{FF2B5EF4-FFF2-40B4-BE49-F238E27FC236}">
              <a16:creationId xmlns:a16="http://schemas.microsoft.com/office/drawing/2014/main" id="{00000000-0008-0000-0500-0000B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5" name="Picture 1" descr="p?c1=2&amp;c2=7848742&amp;cv=2">
          <a:extLst>
            <a:ext uri="{FF2B5EF4-FFF2-40B4-BE49-F238E27FC236}">
              <a16:creationId xmlns:a16="http://schemas.microsoft.com/office/drawing/2014/main" id="{00000000-0008-0000-0500-0000B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6" name="Picture 36" descr="p?c1=2&amp;c2=7848742&amp;cv=2">
          <a:extLst>
            <a:ext uri="{FF2B5EF4-FFF2-40B4-BE49-F238E27FC236}">
              <a16:creationId xmlns:a16="http://schemas.microsoft.com/office/drawing/2014/main" id="{00000000-0008-0000-0500-0000C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17" name="Picture 1" descr="p?c1=2&amp;c2=7848742&amp;cv=2">
          <a:extLst>
            <a:ext uri="{FF2B5EF4-FFF2-40B4-BE49-F238E27FC236}">
              <a16:creationId xmlns:a16="http://schemas.microsoft.com/office/drawing/2014/main" id="{00000000-0008-0000-0500-0000C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18" name="Picture 36" descr="p?c1=2&amp;c2=7848742&amp;cv=2">
          <a:extLst>
            <a:ext uri="{FF2B5EF4-FFF2-40B4-BE49-F238E27FC236}">
              <a16:creationId xmlns:a16="http://schemas.microsoft.com/office/drawing/2014/main" id="{00000000-0008-0000-0500-0000C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19" name="Picture 1" descr="p?c1=2&amp;c2=7848742&amp;cv=2">
          <a:extLst>
            <a:ext uri="{FF2B5EF4-FFF2-40B4-BE49-F238E27FC236}">
              <a16:creationId xmlns:a16="http://schemas.microsoft.com/office/drawing/2014/main" id="{00000000-0008-0000-0500-0000C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0" name="Picture 36" descr="p?c1=2&amp;c2=7848742&amp;cv=2">
          <a:extLst>
            <a:ext uri="{FF2B5EF4-FFF2-40B4-BE49-F238E27FC236}">
              <a16:creationId xmlns:a16="http://schemas.microsoft.com/office/drawing/2014/main" id="{00000000-0008-0000-0500-0000C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1" name="Picture 1" descr="p?c1=2&amp;c2=7848742&amp;cv=2">
          <a:extLst>
            <a:ext uri="{FF2B5EF4-FFF2-40B4-BE49-F238E27FC236}">
              <a16:creationId xmlns:a16="http://schemas.microsoft.com/office/drawing/2014/main" id="{00000000-0008-0000-0500-0000C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2" name="Picture 36" descr="p?c1=2&amp;c2=7848742&amp;cv=2">
          <a:extLst>
            <a:ext uri="{FF2B5EF4-FFF2-40B4-BE49-F238E27FC236}">
              <a16:creationId xmlns:a16="http://schemas.microsoft.com/office/drawing/2014/main" id="{00000000-0008-0000-0500-0000C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3" name="Picture 1" descr="p?c1=2&amp;c2=7848742&amp;cv=2">
          <a:extLst>
            <a:ext uri="{FF2B5EF4-FFF2-40B4-BE49-F238E27FC236}">
              <a16:creationId xmlns:a16="http://schemas.microsoft.com/office/drawing/2014/main" id="{00000000-0008-0000-0500-0000C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4" name="Picture 36" descr="p?c1=2&amp;c2=7848742&amp;cv=2">
          <a:extLst>
            <a:ext uri="{FF2B5EF4-FFF2-40B4-BE49-F238E27FC236}">
              <a16:creationId xmlns:a16="http://schemas.microsoft.com/office/drawing/2014/main" id="{00000000-0008-0000-0500-0000C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5" name="Picture 1" descr="p?c1=2&amp;c2=7848742&amp;cv=2">
          <a:extLst>
            <a:ext uri="{FF2B5EF4-FFF2-40B4-BE49-F238E27FC236}">
              <a16:creationId xmlns:a16="http://schemas.microsoft.com/office/drawing/2014/main" id="{00000000-0008-0000-0500-0000C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6" name="Picture 36" descr="p?c1=2&amp;c2=7848742&amp;cv=2">
          <a:extLst>
            <a:ext uri="{FF2B5EF4-FFF2-40B4-BE49-F238E27FC236}">
              <a16:creationId xmlns:a16="http://schemas.microsoft.com/office/drawing/2014/main" id="{00000000-0008-0000-0500-0000C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7" name="Picture 1" descr="p?c1=2&amp;c2=7848742&amp;cv=2">
          <a:extLst>
            <a:ext uri="{FF2B5EF4-FFF2-40B4-BE49-F238E27FC236}">
              <a16:creationId xmlns:a16="http://schemas.microsoft.com/office/drawing/2014/main" id="{00000000-0008-0000-0500-0000C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8" name="Picture 36" descr="p?c1=2&amp;c2=7848742&amp;cv=2">
          <a:extLst>
            <a:ext uri="{FF2B5EF4-FFF2-40B4-BE49-F238E27FC236}">
              <a16:creationId xmlns:a16="http://schemas.microsoft.com/office/drawing/2014/main" id="{00000000-0008-0000-0500-0000C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9" name="Picture 1" descr="p?c1=2&amp;c2=7848742&amp;cv=2">
          <a:extLst>
            <a:ext uri="{FF2B5EF4-FFF2-40B4-BE49-F238E27FC236}">
              <a16:creationId xmlns:a16="http://schemas.microsoft.com/office/drawing/2014/main" id="{00000000-0008-0000-0500-0000C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0" name="Picture 36" descr="p?c1=2&amp;c2=7848742&amp;cv=2">
          <a:extLst>
            <a:ext uri="{FF2B5EF4-FFF2-40B4-BE49-F238E27FC236}">
              <a16:creationId xmlns:a16="http://schemas.microsoft.com/office/drawing/2014/main" id="{00000000-0008-0000-0500-0000C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1" name="Picture 1" descr="p?c1=2&amp;c2=7848742&amp;cv=2">
          <a:extLst>
            <a:ext uri="{FF2B5EF4-FFF2-40B4-BE49-F238E27FC236}">
              <a16:creationId xmlns:a16="http://schemas.microsoft.com/office/drawing/2014/main" id="{00000000-0008-0000-0500-0000C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2" name="Picture 36" descr="p?c1=2&amp;c2=7848742&amp;cv=2">
          <a:extLst>
            <a:ext uri="{FF2B5EF4-FFF2-40B4-BE49-F238E27FC236}">
              <a16:creationId xmlns:a16="http://schemas.microsoft.com/office/drawing/2014/main" id="{00000000-0008-0000-0500-0000D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3" name="Picture 1" descr="p?c1=2&amp;c2=7848742&amp;cv=2">
          <a:extLst>
            <a:ext uri="{FF2B5EF4-FFF2-40B4-BE49-F238E27FC236}">
              <a16:creationId xmlns:a16="http://schemas.microsoft.com/office/drawing/2014/main" id="{00000000-0008-0000-0500-0000D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4" name="Picture 36" descr="p?c1=2&amp;c2=7848742&amp;cv=2">
          <a:extLst>
            <a:ext uri="{FF2B5EF4-FFF2-40B4-BE49-F238E27FC236}">
              <a16:creationId xmlns:a16="http://schemas.microsoft.com/office/drawing/2014/main" id="{00000000-0008-0000-0500-0000D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5" name="Picture 1" descr="p?c1=2&amp;c2=7848742&amp;cv=2">
          <a:extLst>
            <a:ext uri="{FF2B5EF4-FFF2-40B4-BE49-F238E27FC236}">
              <a16:creationId xmlns:a16="http://schemas.microsoft.com/office/drawing/2014/main" id="{00000000-0008-0000-0500-0000D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6" name="Picture 36" descr="p?c1=2&amp;c2=7848742&amp;cv=2">
          <a:extLst>
            <a:ext uri="{FF2B5EF4-FFF2-40B4-BE49-F238E27FC236}">
              <a16:creationId xmlns:a16="http://schemas.microsoft.com/office/drawing/2014/main" id="{00000000-0008-0000-0500-0000D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7" name="Picture 1" descr="p?c1=2&amp;c2=7848742&amp;cv=2">
          <a:extLst>
            <a:ext uri="{FF2B5EF4-FFF2-40B4-BE49-F238E27FC236}">
              <a16:creationId xmlns:a16="http://schemas.microsoft.com/office/drawing/2014/main" id="{00000000-0008-0000-0500-0000D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8" name="Picture 36" descr="p?c1=2&amp;c2=7848742&amp;cv=2">
          <a:extLst>
            <a:ext uri="{FF2B5EF4-FFF2-40B4-BE49-F238E27FC236}">
              <a16:creationId xmlns:a16="http://schemas.microsoft.com/office/drawing/2014/main" id="{00000000-0008-0000-0500-0000D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9" name="Picture 1" descr="p?c1=2&amp;c2=7848742&amp;cv=2">
          <a:extLst>
            <a:ext uri="{FF2B5EF4-FFF2-40B4-BE49-F238E27FC236}">
              <a16:creationId xmlns:a16="http://schemas.microsoft.com/office/drawing/2014/main" id="{00000000-0008-0000-0500-0000D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0" name="Picture 36" descr="p?c1=2&amp;c2=7848742&amp;cv=2">
          <a:extLst>
            <a:ext uri="{FF2B5EF4-FFF2-40B4-BE49-F238E27FC236}">
              <a16:creationId xmlns:a16="http://schemas.microsoft.com/office/drawing/2014/main" id="{00000000-0008-0000-0500-0000D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1" name="Picture 1" descr="p?c1=2&amp;c2=7848742&amp;cv=2">
          <a:extLst>
            <a:ext uri="{FF2B5EF4-FFF2-40B4-BE49-F238E27FC236}">
              <a16:creationId xmlns:a16="http://schemas.microsoft.com/office/drawing/2014/main" id="{00000000-0008-0000-0500-0000D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2" name="Picture 36" descr="p?c1=2&amp;c2=7848742&amp;cv=2">
          <a:extLst>
            <a:ext uri="{FF2B5EF4-FFF2-40B4-BE49-F238E27FC236}">
              <a16:creationId xmlns:a16="http://schemas.microsoft.com/office/drawing/2014/main" id="{00000000-0008-0000-0500-0000D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3" name="Picture 1" descr="p?c1=2&amp;c2=7848742&amp;cv=2">
          <a:extLst>
            <a:ext uri="{FF2B5EF4-FFF2-40B4-BE49-F238E27FC236}">
              <a16:creationId xmlns:a16="http://schemas.microsoft.com/office/drawing/2014/main" id="{00000000-0008-0000-0500-0000D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4" name="Picture 36" descr="p?c1=2&amp;c2=7848742&amp;cv=2">
          <a:extLst>
            <a:ext uri="{FF2B5EF4-FFF2-40B4-BE49-F238E27FC236}">
              <a16:creationId xmlns:a16="http://schemas.microsoft.com/office/drawing/2014/main" id="{00000000-0008-0000-0500-0000D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5" name="Picture 1" descr="p?c1=2&amp;c2=7848742&amp;cv=2">
          <a:extLst>
            <a:ext uri="{FF2B5EF4-FFF2-40B4-BE49-F238E27FC236}">
              <a16:creationId xmlns:a16="http://schemas.microsoft.com/office/drawing/2014/main" id="{00000000-0008-0000-0500-0000D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6" name="Picture 36" descr="p?c1=2&amp;c2=7848742&amp;cv=2">
          <a:extLst>
            <a:ext uri="{FF2B5EF4-FFF2-40B4-BE49-F238E27FC236}">
              <a16:creationId xmlns:a16="http://schemas.microsoft.com/office/drawing/2014/main" id="{00000000-0008-0000-0500-0000D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7" name="Picture 1" descr="p?c1=2&amp;c2=7848742&amp;cv=2">
          <a:extLst>
            <a:ext uri="{FF2B5EF4-FFF2-40B4-BE49-F238E27FC236}">
              <a16:creationId xmlns:a16="http://schemas.microsoft.com/office/drawing/2014/main" id="{00000000-0008-0000-0500-0000D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8" name="Picture 36" descr="p?c1=2&amp;c2=7848742&amp;cv=2">
          <a:extLst>
            <a:ext uri="{FF2B5EF4-FFF2-40B4-BE49-F238E27FC236}">
              <a16:creationId xmlns:a16="http://schemas.microsoft.com/office/drawing/2014/main" id="{00000000-0008-0000-0500-0000E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9" name="Picture 1" descr="p?c1=2&amp;c2=7848742&amp;cv=2">
          <a:extLst>
            <a:ext uri="{FF2B5EF4-FFF2-40B4-BE49-F238E27FC236}">
              <a16:creationId xmlns:a16="http://schemas.microsoft.com/office/drawing/2014/main" id="{00000000-0008-0000-0500-0000E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0" name="Picture 36" descr="p?c1=2&amp;c2=7848742&amp;cv=2">
          <a:extLst>
            <a:ext uri="{FF2B5EF4-FFF2-40B4-BE49-F238E27FC236}">
              <a16:creationId xmlns:a16="http://schemas.microsoft.com/office/drawing/2014/main" id="{00000000-0008-0000-0500-0000E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1" name="Picture 1" descr="p?c1=2&amp;c2=7848742&amp;cv=2">
          <a:extLst>
            <a:ext uri="{FF2B5EF4-FFF2-40B4-BE49-F238E27FC236}">
              <a16:creationId xmlns:a16="http://schemas.microsoft.com/office/drawing/2014/main" id="{00000000-0008-0000-0500-0000E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2" name="Picture 36" descr="p?c1=2&amp;c2=7848742&amp;cv=2">
          <a:extLst>
            <a:ext uri="{FF2B5EF4-FFF2-40B4-BE49-F238E27FC236}">
              <a16:creationId xmlns:a16="http://schemas.microsoft.com/office/drawing/2014/main" id="{00000000-0008-0000-0500-0000E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3" name="Picture 1" descr="p?c1=2&amp;c2=7848742&amp;cv=2">
          <a:extLst>
            <a:ext uri="{FF2B5EF4-FFF2-40B4-BE49-F238E27FC236}">
              <a16:creationId xmlns:a16="http://schemas.microsoft.com/office/drawing/2014/main" id="{00000000-0008-0000-0500-0000E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4" name="Picture 36" descr="p?c1=2&amp;c2=7848742&amp;cv=2">
          <a:extLst>
            <a:ext uri="{FF2B5EF4-FFF2-40B4-BE49-F238E27FC236}">
              <a16:creationId xmlns:a16="http://schemas.microsoft.com/office/drawing/2014/main" id="{00000000-0008-0000-0500-0000E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5" name="Picture 1" descr="p?c1=2&amp;c2=7848742&amp;cv=2">
          <a:extLst>
            <a:ext uri="{FF2B5EF4-FFF2-40B4-BE49-F238E27FC236}">
              <a16:creationId xmlns:a16="http://schemas.microsoft.com/office/drawing/2014/main" id="{00000000-0008-0000-0500-0000E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6" name="Picture 36" descr="p?c1=2&amp;c2=7848742&amp;cv=2">
          <a:extLst>
            <a:ext uri="{FF2B5EF4-FFF2-40B4-BE49-F238E27FC236}">
              <a16:creationId xmlns:a16="http://schemas.microsoft.com/office/drawing/2014/main" id="{00000000-0008-0000-0500-0000E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7" name="Picture 1" descr="p?c1=2&amp;c2=7848742&amp;cv=2">
          <a:extLst>
            <a:ext uri="{FF2B5EF4-FFF2-40B4-BE49-F238E27FC236}">
              <a16:creationId xmlns:a16="http://schemas.microsoft.com/office/drawing/2014/main" id="{00000000-0008-0000-0500-0000E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8" name="Picture 36" descr="p?c1=2&amp;c2=7848742&amp;cv=2">
          <a:extLst>
            <a:ext uri="{FF2B5EF4-FFF2-40B4-BE49-F238E27FC236}">
              <a16:creationId xmlns:a16="http://schemas.microsoft.com/office/drawing/2014/main" id="{00000000-0008-0000-0500-0000E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9" name="Picture 1" descr="p?c1=2&amp;c2=7848742&amp;cv=2">
          <a:extLst>
            <a:ext uri="{FF2B5EF4-FFF2-40B4-BE49-F238E27FC236}">
              <a16:creationId xmlns:a16="http://schemas.microsoft.com/office/drawing/2014/main" id="{00000000-0008-0000-0500-0000E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0" name="Picture 36" descr="p?c1=2&amp;c2=7848742&amp;cv=2">
          <a:extLst>
            <a:ext uri="{FF2B5EF4-FFF2-40B4-BE49-F238E27FC236}">
              <a16:creationId xmlns:a16="http://schemas.microsoft.com/office/drawing/2014/main" id="{00000000-0008-0000-0500-0000E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1" name="Picture 1" descr="p?c1=2&amp;c2=7848742&amp;cv=2">
          <a:extLst>
            <a:ext uri="{FF2B5EF4-FFF2-40B4-BE49-F238E27FC236}">
              <a16:creationId xmlns:a16="http://schemas.microsoft.com/office/drawing/2014/main" id="{00000000-0008-0000-0500-0000E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2" name="Picture 36" descr="p?c1=2&amp;c2=7848742&amp;cv=2">
          <a:extLst>
            <a:ext uri="{FF2B5EF4-FFF2-40B4-BE49-F238E27FC236}">
              <a16:creationId xmlns:a16="http://schemas.microsoft.com/office/drawing/2014/main" id="{00000000-0008-0000-0500-0000E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3" name="Picture 1" descr="p?c1=2&amp;c2=7848742&amp;cv=2">
          <a:extLst>
            <a:ext uri="{FF2B5EF4-FFF2-40B4-BE49-F238E27FC236}">
              <a16:creationId xmlns:a16="http://schemas.microsoft.com/office/drawing/2014/main" id="{00000000-0008-0000-0500-0000E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4" name="Picture 36" descr="p?c1=2&amp;c2=7848742&amp;cv=2">
          <a:extLst>
            <a:ext uri="{FF2B5EF4-FFF2-40B4-BE49-F238E27FC236}">
              <a16:creationId xmlns:a16="http://schemas.microsoft.com/office/drawing/2014/main" id="{00000000-0008-0000-0500-0000F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5" name="Picture 1" descr="p?c1=2&amp;c2=7848742&amp;cv=2">
          <a:extLst>
            <a:ext uri="{FF2B5EF4-FFF2-40B4-BE49-F238E27FC236}">
              <a16:creationId xmlns:a16="http://schemas.microsoft.com/office/drawing/2014/main" id="{00000000-0008-0000-0500-0000F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6" name="Picture 36" descr="p?c1=2&amp;c2=7848742&amp;cv=2">
          <a:extLst>
            <a:ext uri="{FF2B5EF4-FFF2-40B4-BE49-F238E27FC236}">
              <a16:creationId xmlns:a16="http://schemas.microsoft.com/office/drawing/2014/main" id="{00000000-0008-0000-0500-0000F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7" name="Picture 1" descr="p?c1=2&amp;c2=7848742&amp;cv=2">
          <a:extLst>
            <a:ext uri="{FF2B5EF4-FFF2-40B4-BE49-F238E27FC236}">
              <a16:creationId xmlns:a16="http://schemas.microsoft.com/office/drawing/2014/main" id="{00000000-0008-0000-0500-0000F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8" name="Picture 36" descr="p?c1=2&amp;c2=7848742&amp;cv=2">
          <a:extLst>
            <a:ext uri="{FF2B5EF4-FFF2-40B4-BE49-F238E27FC236}">
              <a16:creationId xmlns:a16="http://schemas.microsoft.com/office/drawing/2014/main" id="{00000000-0008-0000-0500-0000F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9" name="Picture 1" descr="p?c1=2&amp;c2=7848742&amp;cv=2">
          <a:extLst>
            <a:ext uri="{FF2B5EF4-FFF2-40B4-BE49-F238E27FC236}">
              <a16:creationId xmlns:a16="http://schemas.microsoft.com/office/drawing/2014/main" id="{00000000-0008-0000-0500-0000F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0" name="Picture 36" descr="p?c1=2&amp;c2=7848742&amp;cv=2">
          <a:extLst>
            <a:ext uri="{FF2B5EF4-FFF2-40B4-BE49-F238E27FC236}">
              <a16:creationId xmlns:a16="http://schemas.microsoft.com/office/drawing/2014/main" id="{00000000-0008-0000-0500-0000F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1" name="Picture 1" descr="p?c1=2&amp;c2=7848742&amp;cv=2">
          <a:extLst>
            <a:ext uri="{FF2B5EF4-FFF2-40B4-BE49-F238E27FC236}">
              <a16:creationId xmlns:a16="http://schemas.microsoft.com/office/drawing/2014/main" id="{00000000-0008-0000-0500-0000F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2" name="Picture 36" descr="p?c1=2&amp;c2=7848742&amp;cv=2">
          <a:extLst>
            <a:ext uri="{FF2B5EF4-FFF2-40B4-BE49-F238E27FC236}">
              <a16:creationId xmlns:a16="http://schemas.microsoft.com/office/drawing/2014/main" id="{00000000-0008-0000-0500-0000F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3" name="Picture 1" descr="p?c1=2&amp;c2=7848742&amp;cv=2">
          <a:extLst>
            <a:ext uri="{FF2B5EF4-FFF2-40B4-BE49-F238E27FC236}">
              <a16:creationId xmlns:a16="http://schemas.microsoft.com/office/drawing/2014/main" id="{00000000-0008-0000-0500-0000F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4" name="Picture 36" descr="p?c1=2&amp;c2=7848742&amp;cv=2">
          <a:extLst>
            <a:ext uri="{FF2B5EF4-FFF2-40B4-BE49-F238E27FC236}">
              <a16:creationId xmlns:a16="http://schemas.microsoft.com/office/drawing/2014/main" id="{00000000-0008-0000-0500-0000F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5" name="Picture 1" descr="p?c1=2&amp;c2=7848742&amp;cv=2">
          <a:extLst>
            <a:ext uri="{FF2B5EF4-FFF2-40B4-BE49-F238E27FC236}">
              <a16:creationId xmlns:a16="http://schemas.microsoft.com/office/drawing/2014/main" id="{00000000-0008-0000-0500-0000F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6" name="Picture 36" descr="p?c1=2&amp;c2=7848742&amp;cv=2">
          <a:extLst>
            <a:ext uri="{FF2B5EF4-FFF2-40B4-BE49-F238E27FC236}">
              <a16:creationId xmlns:a16="http://schemas.microsoft.com/office/drawing/2014/main" id="{00000000-0008-0000-0500-0000F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7" name="Picture 1" descr="p?c1=2&amp;c2=7848742&amp;cv=2">
          <a:extLst>
            <a:ext uri="{FF2B5EF4-FFF2-40B4-BE49-F238E27FC236}">
              <a16:creationId xmlns:a16="http://schemas.microsoft.com/office/drawing/2014/main" id="{00000000-0008-0000-0500-0000F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8" name="Picture 36" descr="p?c1=2&amp;c2=7848742&amp;cv=2">
          <a:extLst>
            <a:ext uri="{FF2B5EF4-FFF2-40B4-BE49-F238E27FC236}">
              <a16:creationId xmlns:a16="http://schemas.microsoft.com/office/drawing/2014/main" id="{00000000-0008-0000-0500-0000F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9" name="Picture 1" descr="p?c1=2&amp;c2=7848742&amp;cv=2">
          <a:extLst>
            <a:ext uri="{FF2B5EF4-FFF2-40B4-BE49-F238E27FC236}">
              <a16:creationId xmlns:a16="http://schemas.microsoft.com/office/drawing/2014/main" id="{00000000-0008-0000-0500-0000F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80" name="Picture 36" descr="p?c1=2&amp;c2=7848742&amp;cv=2">
          <a:extLst>
            <a:ext uri="{FF2B5EF4-FFF2-40B4-BE49-F238E27FC236}">
              <a16:creationId xmlns:a16="http://schemas.microsoft.com/office/drawing/2014/main" id="{00000000-0008-0000-0500-000000FE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bayar.edu.tr/besergil/15_BOLUM_12.pdf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bayar.edu.tr/besergil/15_BOLUM_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>
    <tabColor indexed="13"/>
  </sheetPr>
  <dimension ref="A3:CI379"/>
  <sheetViews>
    <sheetView zoomScaleNormal="100" workbookViewId="0">
      <pane xSplit="3" ySplit="10" topLeftCell="AV29" activePane="bottomRight" state="frozen"/>
      <selection activeCell="V279" sqref="V279"/>
      <selection pane="topRight" activeCell="V279" sqref="V279"/>
      <selection pane="bottomLeft" activeCell="V279" sqref="V279"/>
      <selection pane="bottomRight" activeCell="BB6" sqref="BB6"/>
    </sheetView>
  </sheetViews>
  <sheetFormatPr defaultColWidth="9.140625" defaultRowHeight="12.75"/>
  <cols>
    <col min="1" max="1" width="12.85546875" style="9" customWidth="1"/>
    <col min="2" max="2" width="15" style="2" customWidth="1"/>
    <col min="3" max="3" width="23.42578125" style="2" customWidth="1"/>
    <col min="4" max="4" width="8.7109375" style="30" customWidth="1"/>
    <col min="5" max="5" width="8.5703125" style="32" customWidth="1"/>
    <col min="6" max="8" width="7.85546875" style="32" customWidth="1"/>
    <col min="9" max="10" width="7.85546875" style="30" customWidth="1"/>
    <col min="11" max="11" width="7.85546875" style="31" customWidth="1"/>
    <col min="12" max="19" width="7.42578125" style="31" customWidth="1"/>
    <col min="20" max="20" width="9.5703125" style="30" customWidth="1"/>
    <col min="21" max="21" width="7.42578125" style="31" customWidth="1"/>
    <col min="22" max="23" width="7.28515625" style="31" customWidth="1"/>
    <col min="24" max="24" width="7.140625" style="31" customWidth="1"/>
    <col min="25" max="25" width="10.5703125" style="31" customWidth="1"/>
    <col min="26" max="26" width="7.140625" style="31" bestFit="1" customWidth="1"/>
    <col min="27" max="27" width="10.42578125" style="31" customWidth="1"/>
    <col min="28" max="28" width="12.85546875" style="31" customWidth="1"/>
    <col min="29" max="30" width="10.85546875" style="31" customWidth="1"/>
    <col min="31" max="32" width="9.28515625" style="31" customWidth="1"/>
    <col min="33" max="33" width="9" style="31" customWidth="1"/>
    <col min="34" max="34" width="10.85546875" style="31" customWidth="1"/>
    <col min="35" max="35" width="11.28515625" style="31" customWidth="1"/>
    <col min="36" max="36" width="11.85546875" style="31" customWidth="1"/>
    <col min="37" max="37" width="13.28515625" customWidth="1"/>
    <col min="38" max="38" width="10.7109375" style="31" customWidth="1"/>
    <col min="39" max="40" width="9" style="31" customWidth="1"/>
    <col min="41" max="41" width="10.7109375" style="31" customWidth="1"/>
    <col min="42" max="42" width="11.42578125" style="31" customWidth="1"/>
    <col min="43" max="43" width="9" style="31" customWidth="1"/>
    <col min="44" max="44" width="10.7109375" style="31" customWidth="1"/>
    <col min="45" max="46" width="9" style="31" customWidth="1"/>
    <col min="47" max="47" width="10.7109375" style="31" customWidth="1"/>
    <col min="48" max="49" width="9" style="31" customWidth="1"/>
    <col min="50" max="50" width="10.7109375" style="31" customWidth="1"/>
    <col min="51" max="52" width="9" style="31" customWidth="1"/>
    <col min="53" max="53" width="8.7109375" style="9" customWidth="1"/>
    <col min="54" max="54" width="57" style="9" customWidth="1"/>
    <col min="55" max="55" width="9.140625" style="9"/>
    <col min="56" max="56" width="11.5703125" style="31" customWidth="1"/>
    <col min="57" max="16384" width="9.140625" style="9"/>
  </cols>
  <sheetData>
    <row r="3" spans="1:86">
      <c r="C3" s="408" t="s">
        <v>117</v>
      </c>
      <c r="D3" s="409">
        <f>COUNTIF(D11:D34,"&gt;0")</f>
        <v>0</v>
      </c>
      <c r="E3" s="409">
        <f>COUNTIF(E11:E34,"&gt;0")</f>
        <v>0</v>
      </c>
      <c r="F3" s="409">
        <f t="shared" ref="F3:N3" si="0">COUNTIF(F11:F34,"&gt;0")</f>
        <v>0</v>
      </c>
      <c r="G3" s="409">
        <f t="shared" si="0"/>
        <v>0</v>
      </c>
      <c r="H3" s="409">
        <f t="shared" si="0"/>
        <v>0</v>
      </c>
      <c r="I3" s="409">
        <f t="shared" si="0"/>
        <v>0</v>
      </c>
      <c r="J3" s="409">
        <f t="shared" si="0"/>
        <v>0</v>
      </c>
      <c r="K3" s="409">
        <f t="shared" si="0"/>
        <v>0</v>
      </c>
      <c r="L3" s="409">
        <f t="shared" si="0"/>
        <v>0</v>
      </c>
      <c r="M3" s="409">
        <f t="shared" si="0"/>
        <v>0</v>
      </c>
      <c r="N3" s="409">
        <f t="shared" si="0"/>
        <v>0</v>
      </c>
      <c r="O3" s="409">
        <f>COUNTIF(O11:O34,"&gt;0")</f>
        <v>0</v>
      </c>
      <c r="P3" s="409">
        <f>COUNTIF(P11:P34,"&gt;0")</f>
        <v>0</v>
      </c>
      <c r="Q3" s="409">
        <f>COUNTIF(Q11:Q34,"&gt;0")</f>
        <v>0</v>
      </c>
      <c r="R3" s="409">
        <f>COUNTIF(R11:R34,"&gt;0")</f>
        <v>0</v>
      </c>
      <c r="S3" s="409">
        <f>COUNTIF(S11:S34,"&gt;0")</f>
        <v>0</v>
      </c>
      <c r="T3" s="409">
        <f t="shared" ref="T3:AT3" si="1">COUNTIF(T11:T34,"&gt;0")</f>
        <v>0</v>
      </c>
      <c r="U3" s="409">
        <f t="shared" si="1"/>
        <v>0</v>
      </c>
      <c r="V3" s="409">
        <f t="shared" si="1"/>
        <v>0</v>
      </c>
      <c r="W3" s="409">
        <f t="shared" si="1"/>
        <v>0</v>
      </c>
      <c r="X3" s="409">
        <f t="shared" si="1"/>
        <v>0</v>
      </c>
      <c r="Y3" s="409">
        <f t="shared" si="1"/>
        <v>0</v>
      </c>
      <c r="Z3" s="409">
        <f t="shared" si="1"/>
        <v>24</v>
      </c>
      <c r="AA3" s="409">
        <f t="shared" si="1"/>
        <v>0</v>
      </c>
      <c r="AB3" s="409">
        <f t="shared" si="1"/>
        <v>0</v>
      </c>
      <c r="AC3" s="409">
        <f t="shared" si="1"/>
        <v>0</v>
      </c>
      <c r="AD3" s="409">
        <f t="shared" si="1"/>
        <v>0</v>
      </c>
      <c r="AE3" s="409">
        <f t="shared" si="1"/>
        <v>0</v>
      </c>
      <c r="AF3" s="409">
        <f t="shared" si="1"/>
        <v>0</v>
      </c>
      <c r="AG3" s="409">
        <f t="shared" si="1"/>
        <v>0</v>
      </c>
      <c r="AH3" s="409">
        <f t="shared" si="1"/>
        <v>0</v>
      </c>
      <c r="AI3" s="409">
        <f t="shared" si="1"/>
        <v>0</v>
      </c>
      <c r="AJ3" s="409">
        <f t="shared" si="1"/>
        <v>0</v>
      </c>
      <c r="AK3" s="409">
        <f t="shared" si="1"/>
        <v>0</v>
      </c>
      <c r="AL3" s="409">
        <f t="shared" si="1"/>
        <v>0</v>
      </c>
      <c r="AM3" s="409">
        <f t="shared" si="1"/>
        <v>0</v>
      </c>
      <c r="AN3" s="409">
        <f t="shared" si="1"/>
        <v>0</v>
      </c>
      <c r="AO3" s="409">
        <f t="shared" si="1"/>
        <v>0</v>
      </c>
      <c r="AP3" s="409">
        <f t="shared" si="1"/>
        <v>0</v>
      </c>
      <c r="AQ3" s="409">
        <f t="shared" si="1"/>
        <v>0</v>
      </c>
      <c r="AR3" s="409">
        <f t="shared" si="1"/>
        <v>0</v>
      </c>
      <c r="AS3" s="409">
        <f t="shared" si="1"/>
        <v>0</v>
      </c>
      <c r="AT3" s="409">
        <f t="shared" si="1"/>
        <v>0</v>
      </c>
      <c r="AU3" s="409">
        <f t="shared" ref="AU3:AZ3" si="2">COUNTIF(AU11:AU34,"&gt;0")</f>
        <v>0</v>
      </c>
      <c r="AV3" s="409">
        <f t="shared" si="2"/>
        <v>0</v>
      </c>
      <c r="AW3" s="409">
        <f t="shared" si="2"/>
        <v>0</v>
      </c>
      <c r="AX3" s="409">
        <f t="shared" si="2"/>
        <v>0</v>
      </c>
      <c r="AY3" s="409">
        <f t="shared" si="2"/>
        <v>0</v>
      </c>
      <c r="AZ3" s="409">
        <f t="shared" si="2"/>
        <v>0</v>
      </c>
    </row>
    <row r="4" spans="1:86" s="10" customFormat="1">
      <c r="A4" s="72" t="s">
        <v>115</v>
      </c>
      <c r="B4" s="72"/>
      <c r="C4" s="411" t="s">
        <v>118</v>
      </c>
      <c r="D4" s="409" t="e">
        <f>STDEV(D11:D34)</f>
        <v>#DIV/0!</v>
      </c>
      <c r="E4" s="409" t="e">
        <f>STDEV(E11:E34)</f>
        <v>#DIV/0!</v>
      </c>
      <c r="F4" s="409" t="e">
        <f t="shared" ref="F4:N4" si="3">STDEV(F11:F34)</f>
        <v>#DIV/0!</v>
      </c>
      <c r="G4" s="409" t="e">
        <f t="shared" si="3"/>
        <v>#DIV/0!</v>
      </c>
      <c r="H4" s="409" t="e">
        <f t="shared" si="3"/>
        <v>#DIV/0!</v>
      </c>
      <c r="I4" s="409" t="e">
        <f t="shared" si="3"/>
        <v>#DIV/0!</v>
      </c>
      <c r="J4" s="409" t="e">
        <f t="shared" si="3"/>
        <v>#DIV/0!</v>
      </c>
      <c r="K4" s="409" t="e">
        <f t="shared" si="3"/>
        <v>#DIV/0!</v>
      </c>
      <c r="L4" s="409" t="e">
        <f t="shared" si="3"/>
        <v>#DIV/0!</v>
      </c>
      <c r="M4" s="409" t="e">
        <f t="shared" si="3"/>
        <v>#DIV/0!</v>
      </c>
      <c r="N4" s="409" t="e">
        <f t="shared" si="3"/>
        <v>#DIV/0!</v>
      </c>
      <c r="O4" s="409" t="e">
        <f>STDEV(O11:O34)</f>
        <v>#DIV/0!</v>
      </c>
      <c r="P4" s="409" t="e">
        <f>STDEV(P11:P34)</f>
        <v>#DIV/0!</v>
      </c>
      <c r="Q4" s="409" t="e">
        <f>STDEV(Q11:Q34)</f>
        <v>#DIV/0!</v>
      </c>
      <c r="R4" s="409" t="e">
        <f>STDEV(R11:R34)</f>
        <v>#DIV/0!</v>
      </c>
      <c r="S4" s="409" t="e">
        <f>STDEV(S11:S34)</f>
        <v>#DIV/0!</v>
      </c>
      <c r="T4" s="409" t="e">
        <f t="shared" ref="T4:AT4" si="4">STDEV(T11:T34)</f>
        <v>#DIV/0!</v>
      </c>
      <c r="U4" s="409" t="e">
        <f t="shared" si="4"/>
        <v>#DIV/0!</v>
      </c>
      <c r="V4" s="409" t="e">
        <f t="shared" si="4"/>
        <v>#DIV/0!</v>
      </c>
      <c r="W4" s="409" t="e">
        <f t="shared" si="4"/>
        <v>#DIV/0!</v>
      </c>
      <c r="X4" s="409" t="e">
        <f t="shared" si="4"/>
        <v>#DIV/0!</v>
      </c>
      <c r="Y4" s="409" t="e">
        <f t="shared" si="4"/>
        <v>#DIV/0!</v>
      </c>
      <c r="Z4" s="409">
        <f t="shared" si="4"/>
        <v>0</v>
      </c>
      <c r="AA4" s="409" t="e">
        <f t="shared" si="4"/>
        <v>#DIV/0!</v>
      </c>
      <c r="AB4" s="409" t="e">
        <f t="shared" si="4"/>
        <v>#DIV/0!</v>
      </c>
      <c r="AC4" s="409" t="e">
        <f t="shared" si="4"/>
        <v>#DIV/0!</v>
      </c>
      <c r="AD4" s="409" t="e">
        <f t="shared" si="4"/>
        <v>#DIV/0!</v>
      </c>
      <c r="AE4" s="409" t="e">
        <f t="shared" si="4"/>
        <v>#DIV/0!</v>
      </c>
      <c r="AF4" s="409" t="e">
        <f t="shared" si="4"/>
        <v>#DIV/0!</v>
      </c>
      <c r="AG4" s="409" t="e">
        <f t="shared" si="4"/>
        <v>#DIV/0!</v>
      </c>
      <c r="AH4" s="409" t="e">
        <f t="shared" si="4"/>
        <v>#DIV/0!</v>
      </c>
      <c r="AI4" s="409" t="e">
        <f t="shared" si="4"/>
        <v>#DIV/0!</v>
      </c>
      <c r="AJ4" s="409" t="e">
        <f t="shared" si="4"/>
        <v>#DIV/0!</v>
      </c>
      <c r="AK4" s="409" t="e">
        <f t="shared" si="4"/>
        <v>#DIV/0!</v>
      </c>
      <c r="AL4" s="409" t="e">
        <f t="shared" si="4"/>
        <v>#DIV/0!</v>
      </c>
      <c r="AM4" s="409" t="e">
        <f t="shared" si="4"/>
        <v>#DIV/0!</v>
      </c>
      <c r="AN4" s="409" t="e">
        <f t="shared" si="4"/>
        <v>#DIV/0!</v>
      </c>
      <c r="AO4" s="409" t="e">
        <f t="shared" si="4"/>
        <v>#DIV/0!</v>
      </c>
      <c r="AP4" s="409" t="e">
        <f t="shared" si="4"/>
        <v>#DIV/0!</v>
      </c>
      <c r="AQ4" s="409" t="e">
        <f t="shared" si="4"/>
        <v>#DIV/0!</v>
      </c>
      <c r="AR4" s="409" t="e">
        <f t="shared" si="4"/>
        <v>#DIV/0!</v>
      </c>
      <c r="AS4" s="409" t="e">
        <f t="shared" si="4"/>
        <v>#DIV/0!</v>
      </c>
      <c r="AT4" s="409" t="e">
        <f t="shared" si="4"/>
        <v>#DIV/0!</v>
      </c>
      <c r="AU4" s="409" t="e">
        <f t="shared" ref="AU4:AZ4" si="5">STDEV(AU11:AU34)</f>
        <v>#DIV/0!</v>
      </c>
      <c r="AV4" s="409" t="e">
        <f t="shared" si="5"/>
        <v>#DIV/0!</v>
      </c>
      <c r="AW4" s="409" t="e">
        <f t="shared" si="5"/>
        <v>#DIV/0!</v>
      </c>
      <c r="AX4" s="409" t="e">
        <f t="shared" si="5"/>
        <v>#DIV/0!</v>
      </c>
      <c r="AY4" s="409" t="e">
        <f t="shared" si="5"/>
        <v>#DIV/0!</v>
      </c>
      <c r="AZ4" s="409" t="e">
        <f t="shared" si="5"/>
        <v>#DIV/0!</v>
      </c>
    </row>
    <row r="5" spans="1:86" s="10" customFormat="1" ht="13.5" thickBot="1">
      <c r="A5" s="291" t="s">
        <v>116</v>
      </c>
      <c r="B5" s="72" t="s">
        <v>7</v>
      </c>
      <c r="C5" s="411" t="s">
        <v>119</v>
      </c>
      <c r="D5" s="409" t="e">
        <f>AVERAGE(D11:D34)</f>
        <v>#DIV/0!</v>
      </c>
      <c r="E5" s="409" t="e">
        <f>AVERAGE(E11:E34)</f>
        <v>#DIV/0!</v>
      </c>
      <c r="F5" s="409" t="e">
        <f t="shared" ref="F5:N5" si="6">AVERAGE(F11:F34)</f>
        <v>#DIV/0!</v>
      </c>
      <c r="G5" s="409" t="e">
        <f t="shared" si="6"/>
        <v>#DIV/0!</v>
      </c>
      <c r="H5" s="409" t="e">
        <f t="shared" si="6"/>
        <v>#DIV/0!</v>
      </c>
      <c r="I5" s="409" t="e">
        <f t="shared" si="6"/>
        <v>#DIV/0!</v>
      </c>
      <c r="J5" s="409" t="e">
        <f t="shared" si="6"/>
        <v>#DIV/0!</v>
      </c>
      <c r="K5" s="409" t="e">
        <f t="shared" si="6"/>
        <v>#DIV/0!</v>
      </c>
      <c r="L5" s="409" t="e">
        <f t="shared" si="6"/>
        <v>#DIV/0!</v>
      </c>
      <c r="M5" s="409" t="e">
        <f t="shared" si="6"/>
        <v>#DIV/0!</v>
      </c>
      <c r="N5" s="409" t="e">
        <f t="shared" si="6"/>
        <v>#DIV/0!</v>
      </c>
      <c r="O5" s="409" t="e">
        <f>AVERAGE(O11:O34)</f>
        <v>#DIV/0!</v>
      </c>
      <c r="P5" s="409" t="e">
        <f>AVERAGE(P11:P34)</f>
        <v>#DIV/0!</v>
      </c>
      <c r="Q5" s="409" t="e">
        <f>AVERAGE(Q11:Q34)</f>
        <v>#DIV/0!</v>
      </c>
      <c r="R5" s="409" t="e">
        <f>AVERAGE(R11:R34)</f>
        <v>#DIV/0!</v>
      </c>
      <c r="S5" s="409" t="e">
        <f>AVERAGE(S11:S34)</f>
        <v>#DIV/0!</v>
      </c>
      <c r="T5" s="409" t="e">
        <f t="shared" ref="T5:AT5" si="7">AVERAGE(T11:T34)</f>
        <v>#DIV/0!</v>
      </c>
      <c r="U5" s="409" t="e">
        <f t="shared" si="7"/>
        <v>#DIV/0!</v>
      </c>
      <c r="V5" s="409" t="e">
        <f t="shared" si="7"/>
        <v>#DIV/0!</v>
      </c>
      <c r="W5" s="409" t="e">
        <f t="shared" si="7"/>
        <v>#DIV/0!</v>
      </c>
      <c r="X5" s="409" t="e">
        <f t="shared" si="7"/>
        <v>#DIV/0!</v>
      </c>
      <c r="Y5" s="409" t="e">
        <f t="shared" si="7"/>
        <v>#DIV/0!</v>
      </c>
      <c r="Z5" s="409">
        <f t="shared" si="7"/>
        <v>70</v>
      </c>
      <c r="AA5" s="409" t="e">
        <f t="shared" si="7"/>
        <v>#DIV/0!</v>
      </c>
      <c r="AB5" s="409" t="e">
        <f t="shared" si="7"/>
        <v>#DIV/0!</v>
      </c>
      <c r="AC5" s="409" t="e">
        <f t="shared" si="7"/>
        <v>#DIV/0!</v>
      </c>
      <c r="AD5" s="409" t="e">
        <f t="shared" si="7"/>
        <v>#DIV/0!</v>
      </c>
      <c r="AE5" s="409" t="e">
        <f t="shared" si="7"/>
        <v>#DIV/0!</v>
      </c>
      <c r="AF5" s="409" t="e">
        <f t="shared" si="7"/>
        <v>#DIV/0!</v>
      </c>
      <c r="AG5" s="409" t="e">
        <f t="shared" si="7"/>
        <v>#DIV/0!</v>
      </c>
      <c r="AH5" s="409" t="e">
        <f t="shared" si="7"/>
        <v>#DIV/0!</v>
      </c>
      <c r="AI5" s="409" t="e">
        <f t="shared" si="7"/>
        <v>#DIV/0!</v>
      </c>
      <c r="AJ5" s="409" t="e">
        <f t="shared" si="7"/>
        <v>#DIV/0!</v>
      </c>
      <c r="AK5" s="409" t="e">
        <f t="shared" si="7"/>
        <v>#DIV/0!</v>
      </c>
      <c r="AL5" s="409" t="e">
        <f t="shared" si="7"/>
        <v>#DIV/0!</v>
      </c>
      <c r="AM5" s="409" t="e">
        <f t="shared" si="7"/>
        <v>#DIV/0!</v>
      </c>
      <c r="AN5" s="409" t="e">
        <f t="shared" si="7"/>
        <v>#DIV/0!</v>
      </c>
      <c r="AO5" s="409" t="e">
        <f t="shared" si="7"/>
        <v>#DIV/0!</v>
      </c>
      <c r="AP5" s="409" t="e">
        <f t="shared" si="7"/>
        <v>#DIV/0!</v>
      </c>
      <c r="AQ5" s="409" t="e">
        <f t="shared" si="7"/>
        <v>#DIV/0!</v>
      </c>
      <c r="AR5" s="409" t="e">
        <f t="shared" si="7"/>
        <v>#DIV/0!</v>
      </c>
      <c r="AS5" s="409" t="e">
        <f t="shared" si="7"/>
        <v>#DIV/0!</v>
      </c>
      <c r="AT5" s="409" t="e">
        <f t="shared" si="7"/>
        <v>#DIV/0!</v>
      </c>
      <c r="AU5" s="409" t="e">
        <f t="shared" ref="AU5:AZ5" si="8">AVERAGE(AU11:AU34)</f>
        <v>#DIV/0!</v>
      </c>
      <c r="AV5" s="409" t="e">
        <f t="shared" si="8"/>
        <v>#DIV/0!</v>
      </c>
      <c r="AW5" s="409" t="e">
        <f t="shared" si="8"/>
        <v>#DIV/0!</v>
      </c>
      <c r="AX5" s="409" t="e">
        <f t="shared" si="8"/>
        <v>#DIV/0!</v>
      </c>
      <c r="AY5" s="409" t="e">
        <f t="shared" si="8"/>
        <v>#DIV/0!</v>
      </c>
      <c r="AZ5" s="409" t="e">
        <f t="shared" si="8"/>
        <v>#DIV/0!</v>
      </c>
    </row>
    <row r="6" spans="1:86" s="10" customFormat="1" ht="13.5" thickBot="1">
      <c r="A6" s="225" t="s">
        <v>35</v>
      </c>
      <c r="B6" s="292">
        <f>'Firin Girisi (Saatlik)'!C4</f>
        <v>43743</v>
      </c>
      <c r="C6" s="411" t="s">
        <v>120</v>
      </c>
      <c r="D6" s="409">
        <f>MIN(D11:D34)</f>
        <v>0</v>
      </c>
      <c r="E6" s="409">
        <f>MIN(E11:E34)</f>
        <v>0</v>
      </c>
      <c r="F6" s="409">
        <f t="shared" ref="F6:N6" si="9">MIN(F11:F34)</f>
        <v>0</v>
      </c>
      <c r="G6" s="409">
        <f t="shared" si="9"/>
        <v>0</v>
      </c>
      <c r="H6" s="409">
        <f t="shared" si="9"/>
        <v>0</v>
      </c>
      <c r="I6" s="409">
        <f t="shared" si="9"/>
        <v>0</v>
      </c>
      <c r="J6" s="409">
        <f t="shared" si="9"/>
        <v>0</v>
      </c>
      <c r="K6" s="409">
        <f t="shared" si="9"/>
        <v>0</v>
      </c>
      <c r="L6" s="409">
        <f t="shared" si="9"/>
        <v>0</v>
      </c>
      <c r="M6" s="409">
        <f t="shared" si="9"/>
        <v>0</v>
      </c>
      <c r="N6" s="409">
        <f t="shared" si="9"/>
        <v>0</v>
      </c>
      <c r="O6" s="409">
        <f>MIN(O11:O34)</f>
        <v>0</v>
      </c>
      <c r="P6" s="409">
        <f>MIN(P11:P34)</f>
        <v>0</v>
      </c>
      <c r="Q6" s="409">
        <f>MIN(Q11:Q34)</f>
        <v>0</v>
      </c>
      <c r="R6" s="409">
        <f>MIN(R11:R34)</f>
        <v>0</v>
      </c>
      <c r="S6" s="409">
        <f>MIN(S11:S34)</f>
        <v>0</v>
      </c>
      <c r="T6" s="409">
        <f t="shared" ref="T6:AT6" si="10">MIN(T11:T34)</f>
        <v>0</v>
      </c>
      <c r="U6" s="409">
        <f t="shared" si="10"/>
        <v>0</v>
      </c>
      <c r="V6" s="409">
        <f t="shared" si="10"/>
        <v>0</v>
      </c>
      <c r="W6" s="409">
        <f t="shared" si="10"/>
        <v>0</v>
      </c>
      <c r="X6" s="409">
        <f t="shared" si="10"/>
        <v>0</v>
      </c>
      <c r="Y6" s="409">
        <f t="shared" si="10"/>
        <v>0</v>
      </c>
      <c r="Z6" s="409">
        <f t="shared" si="10"/>
        <v>70</v>
      </c>
      <c r="AA6" s="409">
        <f t="shared" si="10"/>
        <v>0</v>
      </c>
      <c r="AB6" s="409">
        <f t="shared" si="10"/>
        <v>0</v>
      </c>
      <c r="AC6" s="409">
        <f t="shared" si="10"/>
        <v>0</v>
      </c>
      <c r="AD6" s="409">
        <f t="shared" si="10"/>
        <v>0</v>
      </c>
      <c r="AE6" s="409">
        <f t="shared" si="10"/>
        <v>0</v>
      </c>
      <c r="AF6" s="409">
        <f t="shared" si="10"/>
        <v>0</v>
      </c>
      <c r="AG6" s="409">
        <f t="shared" si="10"/>
        <v>0</v>
      </c>
      <c r="AH6" s="409">
        <f t="shared" si="10"/>
        <v>0</v>
      </c>
      <c r="AI6" s="409">
        <f t="shared" si="10"/>
        <v>0</v>
      </c>
      <c r="AJ6" s="409">
        <f t="shared" si="10"/>
        <v>0</v>
      </c>
      <c r="AK6" s="409">
        <f t="shared" si="10"/>
        <v>0</v>
      </c>
      <c r="AL6" s="409">
        <f t="shared" si="10"/>
        <v>0</v>
      </c>
      <c r="AM6" s="409">
        <f t="shared" si="10"/>
        <v>0</v>
      </c>
      <c r="AN6" s="409">
        <f t="shared" si="10"/>
        <v>0</v>
      </c>
      <c r="AO6" s="409">
        <f t="shared" si="10"/>
        <v>0</v>
      </c>
      <c r="AP6" s="409">
        <f t="shared" si="10"/>
        <v>0</v>
      </c>
      <c r="AQ6" s="409">
        <f t="shared" si="10"/>
        <v>0</v>
      </c>
      <c r="AR6" s="409">
        <f t="shared" si="10"/>
        <v>0</v>
      </c>
      <c r="AS6" s="409">
        <f t="shared" si="10"/>
        <v>0</v>
      </c>
      <c r="AT6" s="409">
        <f t="shared" si="10"/>
        <v>0</v>
      </c>
      <c r="AU6" s="409">
        <f t="shared" ref="AU6:AZ6" si="11">MIN(AU11:AU34)</f>
        <v>0</v>
      </c>
      <c r="AV6" s="409">
        <f t="shared" si="11"/>
        <v>0</v>
      </c>
      <c r="AW6" s="409">
        <f t="shared" si="11"/>
        <v>0</v>
      </c>
      <c r="AX6" s="409">
        <f t="shared" si="11"/>
        <v>0</v>
      </c>
      <c r="AY6" s="409">
        <f t="shared" si="11"/>
        <v>0</v>
      </c>
      <c r="AZ6" s="409">
        <f t="shared" si="11"/>
        <v>0</v>
      </c>
    </row>
    <row r="7" spans="1:86" s="10" customFormat="1" ht="16.5" customHeight="1">
      <c r="B7" s="1"/>
      <c r="C7" s="411" t="s">
        <v>121</v>
      </c>
      <c r="D7" s="409">
        <f>MAX(D11:D34)</f>
        <v>0</v>
      </c>
      <c r="E7" s="409">
        <f>MAX(E11:E34)</f>
        <v>0</v>
      </c>
      <c r="F7" s="409">
        <f t="shared" ref="F7:N7" si="12">MAX(F11:F34)</f>
        <v>0</v>
      </c>
      <c r="G7" s="409">
        <f t="shared" si="12"/>
        <v>0</v>
      </c>
      <c r="H7" s="409">
        <f t="shared" si="12"/>
        <v>0</v>
      </c>
      <c r="I7" s="409">
        <f t="shared" si="12"/>
        <v>0</v>
      </c>
      <c r="J7" s="409">
        <f t="shared" si="12"/>
        <v>0</v>
      </c>
      <c r="K7" s="409">
        <f t="shared" si="12"/>
        <v>0</v>
      </c>
      <c r="L7" s="409">
        <f t="shared" si="12"/>
        <v>0</v>
      </c>
      <c r="M7" s="409">
        <f t="shared" si="12"/>
        <v>0</v>
      </c>
      <c r="N7" s="409">
        <f t="shared" si="12"/>
        <v>0</v>
      </c>
      <c r="O7" s="409">
        <f>MAX(O11:O34)</f>
        <v>0</v>
      </c>
      <c r="P7" s="409">
        <f>MAX(P11:P34)</f>
        <v>0</v>
      </c>
      <c r="Q7" s="409">
        <f>MAX(Q11:Q34)</f>
        <v>0</v>
      </c>
      <c r="R7" s="409">
        <f>MAX(R11:R34)</f>
        <v>0</v>
      </c>
      <c r="S7" s="409">
        <f>MAX(S11:S34)</f>
        <v>0</v>
      </c>
      <c r="T7" s="409">
        <f t="shared" ref="T7:AT7" si="13">MAX(T11:T34)</f>
        <v>0</v>
      </c>
      <c r="U7" s="409">
        <f t="shared" si="13"/>
        <v>0</v>
      </c>
      <c r="V7" s="409">
        <f t="shared" si="13"/>
        <v>0</v>
      </c>
      <c r="W7" s="409">
        <f t="shared" si="13"/>
        <v>0</v>
      </c>
      <c r="X7" s="409">
        <f t="shared" si="13"/>
        <v>0</v>
      </c>
      <c r="Y7" s="409">
        <f t="shared" si="13"/>
        <v>0</v>
      </c>
      <c r="Z7" s="409">
        <f t="shared" si="13"/>
        <v>70</v>
      </c>
      <c r="AA7" s="409">
        <f t="shared" si="13"/>
        <v>0</v>
      </c>
      <c r="AB7" s="409">
        <f t="shared" si="13"/>
        <v>0</v>
      </c>
      <c r="AC7" s="409">
        <f t="shared" si="13"/>
        <v>0</v>
      </c>
      <c r="AD7" s="409">
        <f t="shared" si="13"/>
        <v>0</v>
      </c>
      <c r="AE7" s="409">
        <f t="shared" si="13"/>
        <v>0</v>
      </c>
      <c r="AF7" s="409">
        <f t="shared" si="13"/>
        <v>0</v>
      </c>
      <c r="AG7" s="409">
        <f t="shared" si="13"/>
        <v>0</v>
      </c>
      <c r="AH7" s="409">
        <f t="shared" si="13"/>
        <v>0</v>
      </c>
      <c r="AI7" s="409">
        <f t="shared" si="13"/>
        <v>0</v>
      </c>
      <c r="AJ7" s="409">
        <f t="shared" si="13"/>
        <v>0</v>
      </c>
      <c r="AK7" s="409">
        <f t="shared" si="13"/>
        <v>0</v>
      </c>
      <c r="AL7" s="409">
        <f t="shared" si="13"/>
        <v>0</v>
      </c>
      <c r="AM7" s="409">
        <f t="shared" si="13"/>
        <v>0</v>
      </c>
      <c r="AN7" s="409">
        <f t="shared" si="13"/>
        <v>0</v>
      </c>
      <c r="AO7" s="409">
        <f t="shared" si="13"/>
        <v>0</v>
      </c>
      <c r="AP7" s="409">
        <f t="shared" si="13"/>
        <v>0</v>
      </c>
      <c r="AQ7" s="409">
        <f t="shared" si="13"/>
        <v>0</v>
      </c>
      <c r="AR7" s="409">
        <f t="shared" si="13"/>
        <v>0</v>
      </c>
      <c r="AS7" s="409">
        <f t="shared" si="13"/>
        <v>0</v>
      </c>
      <c r="AT7" s="409">
        <f t="shared" si="13"/>
        <v>0</v>
      </c>
      <c r="AU7" s="409">
        <f t="shared" ref="AU7:AZ7" si="14">MAX(AU11:AU34)</f>
        <v>0</v>
      </c>
      <c r="AV7" s="409">
        <f t="shared" si="14"/>
        <v>0</v>
      </c>
      <c r="AW7" s="409">
        <f t="shared" si="14"/>
        <v>0</v>
      </c>
      <c r="AX7" s="409">
        <f t="shared" si="14"/>
        <v>0</v>
      </c>
      <c r="AY7" s="409">
        <f t="shared" si="14"/>
        <v>0</v>
      </c>
      <c r="AZ7" s="409">
        <f t="shared" si="14"/>
        <v>0</v>
      </c>
      <c r="BD7" s="9"/>
    </row>
    <row r="8" spans="1:86" s="10" customFormat="1" ht="16.5" customHeight="1" thickBot="1">
      <c r="B8" s="1"/>
      <c r="C8" s="390"/>
      <c r="E8" s="391"/>
      <c r="U8" s="9"/>
      <c r="V8" s="392"/>
      <c r="W8" s="393"/>
      <c r="X8" s="73"/>
      <c r="Y8" s="73"/>
      <c r="Z8" s="74"/>
      <c r="AA8" s="73"/>
      <c r="AB8" s="73"/>
      <c r="BD8" s="9"/>
    </row>
    <row r="9" spans="1:86" s="10" customFormat="1" ht="27" customHeight="1" thickBot="1">
      <c r="B9" s="1"/>
      <c r="C9" s="1"/>
      <c r="D9" s="435" t="s">
        <v>29</v>
      </c>
      <c r="E9" s="435"/>
      <c r="F9" s="435"/>
      <c r="G9" s="435"/>
      <c r="H9" s="435"/>
      <c r="I9" s="435"/>
      <c r="J9" s="435"/>
      <c r="K9" s="435"/>
      <c r="L9" s="435"/>
      <c r="M9" s="435"/>
      <c r="N9" s="435"/>
      <c r="O9" s="435"/>
      <c r="P9" s="435"/>
      <c r="Q9" s="435"/>
      <c r="R9" s="435"/>
      <c r="S9" s="435"/>
      <c r="V9" s="302">
        <v>2.4500000000000002</v>
      </c>
      <c r="W9" s="356">
        <v>1.5</v>
      </c>
      <c r="AC9" s="160" t="s">
        <v>31</v>
      </c>
      <c r="AD9" s="161"/>
      <c r="AE9" s="161"/>
      <c r="AF9" s="161"/>
      <c r="AG9" s="161"/>
      <c r="AH9" s="162"/>
      <c r="AI9" s="162"/>
      <c r="AJ9" s="162"/>
      <c r="AK9" s="278"/>
      <c r="AL9" s="432" t="s">
        <v>19</v>
      </c>
      <c r="AM9" s="433"/>
      <c r="AN9" s="434"/>
      <c r="AO9" s="432" t="s">
        <v>20</v>
      </c>
      <c r="AP9" s="433"/>
      <c r="AQ9" s="434"/>
      <c r="AR9" s="432" t="s">
        <v>21</v>
      </c>
      <c r="AS9" s="433"/>
      <c r="AT9" s="434"/>
      <c r="AU9" s="432" t="s">
        <v>130</v>
      </c>
      <c r="AV9" s="433"/>
      <c r="AW9" s="434"/>
      <c r="AX9" s="432" t="s">
        <v>131</v>
      </c>
      <c r="AY9" s="433"/>
      <c r="AZ9" s="434"/>
      <c r="BB9" s="138"/>
    </row>
    <row r="10" spans="1:86" s="29" customFormat="1" ht="39" thickBot="1">
      <c r="B10" s="26" t="s">
        <v>0</v>
      </c>
      <c r="C10" s="26" t="s">
        <v>1</v>
      </c>
      <c r="D10" s="335" t="s">
        <v>132</v>
      </c>
      <c r="E10" s="237" t="s">
        <v>12</v>
      </c>
      <c r="F10" s="238" t="s">
        <v>13</v>
      </c>
      <c r="G10" s="132" t="s">
        <v>14</v>
      </c>
      <c r="H10" s="238" t="s">
        <v>8</v>
      </c>
      <c r="I10" s="132" t="s">
        <v>9</v>
      </c>
      <c r="J10" s="132" t="s">
        <v>15</v>
      </c>
      <c r="K10" s="132" t="s">
        <v>16</v>
      </c>
      <c r="L10" s="132" t="s">
        <v>27</v>
      </c>
      <c r="M10" s="132" t="s">
        <v>72</v>
      </c>
      <c r="N10" s="132" t="s">
        <v>73</v>
      </c>
      <c r="O10" s="132" t="s">
        <v>74</v>
      </c>
      <c r="P10" s="132" t="s">
        <v>75</v>
      </c>
      <c r="Q10" s="132" t="s">
        <v>76</v>
      </c>
      <c r="R10" s="354" t="s">
        <v>77</v>
      </c>
      <c r="S10" s="42" t="s">
        <v>79</v>
      </c>
      <c r="T10" s="336" t="s">
        <v>34</v>
      </c>
      <c r="U10" s="188" t="s">
        <v>18</v>
      </c>
      <c r="V10" s="301" t="s">
        <v>2</v>
      </c>
      <c r="W10" s="301" t="s">
        <v>3</v>
      </c>
      <c r="X10" s="189" t="s">
        <v>4</v>
      </c>
      <c r="Y10" s="189" t="s">
        <v>5</v>
      </c>
      <c r="Z10" s="337" t="s">
        <v>105</v>
      </c>
      <c r="AA10" s="336" t="s">
        <v>123</v>
      </c>
      <c r="AB10" s="203" t="s">
        <v>71</v>
      </c>
      <c r="AC10" s="44" t="s">
        <v>10</v>
      </c>
      <c r="AD10" s="44" t="s">
        <v>11</v>
      </c>
      <c r="AE10" s="44" t="s">
        <v>97</v>
      </c>
      <c r="AF10" s="44" t="s">
        <v>98</v>
      </c>
      <c r="AG10" s="44" t="s">
        <v>87</v>
      </c>
      <c r="AH10" s="44" t="s">
        <v>88</v>
      </c>
      <c r="AI10" s="44" t="s">
        <v>17</v>
      </c>
      <c r="AJ10" s="44" t="s">
        <v>38</v>
      </c>
      <c r="AK10" s="44" t="s">
        <v>99</v>
      </c>
      <c r="AL10" s="42" t="s">
        <v>6</v>
      </c>
      <c r="AM10" s="42" t="s">
        <v>95</v>
      </c>
      <c r="AN10" s="209" t="s">
        <v>94</v>
      </c>
      <c r="AO10" s="42" t="s">
        <v>6</v>
      </c>
      <c r="AP10" s="42" t="s">
        <v>95</v>
      </c>
      <c r="AQ10" s="209" t="s">
        <v>94</v>
      </c>
      <c r="AR10" s="42" t="s">
        <v>6</v>
      </c>
      <c r="AS10" s="42" t="s">
        <v>95</v>
      </c>
      <c r="AT10" s="209" t="s">
        <v>94</v>
      </c>
      <c r="AU10" s="42" t="s">
        <v>6</v>
      </c>
      <c r="AV10" s="42" t="s">
        <v>95</v>
      </c>
      <c r="AW10" s="209" t="s">
        <v>94</v>
      </c>
      <c r="AX10" s="42" t="s">
        <v>6</v>
      </c>
      <c r="AY10" s="42" t="s">
        <v>95</v>
      </c>
      <c r="AZ10" s="209" t="s">
        <v>94</v>
      </c>
      <c r="BB10" s="139" t="s">
        <v>44</v>
      </c>
      <c r="BD10" s="343" t="s">
        <v>110</v>
      </c>
      <c r="BE10" s="343" t="s">
        <v>111</v>
      </c>
      <c r="CB10" s="29" t="s">
        <v>152</v>
      </c>
      <c r="CE10" s="29" t="s">
        <v>152</v>
      </c>
      <c r="CG10" s="29" t="s">
        <v>152</v>
      </c>
      <c r="CH10" s="29" t="s">
        <v>152</v>
      </c>
    </row>
    <row r="11" spans="1:86" s="10" customFormat="1" ht="13.5" customHeight="1">
      <c r="B11" s="3">
        <f>B6</f>
        <v>43743</v>
      </c>
      <c r="C11" s="191">
        <v>0</v>
      </c>
      <c r="D11" s="178" t="str">
        <f t="shared" ref="D11:D34" si="15">IF((E11+F11+G11+H11)&lt;&gt;0,(0.786*H11+1.1*I11),"")</f>
        <v/>
      </c>
      <c r="E11" s="35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  <c r="S11" s="35"/>
      <c r="T11" s="206" t="str">
        <f t="shared" ref="T11:T34" si="16">IF((E11+F11+G11+H11+I11+J11+K11+L11+M11+N11+O11+P11+Q11+R11)&lt;&gt;0,(D11+E11+F11+G11+H11+I11+J11+K11+L11+M11+N11+O11+P11+Q11+R11),"")</f>
        <v/>
      </c>
      <c r="U11" s="177" t="str">
        <f t="shared" ref="U11:U34" si="17">IF((E11+F11+G11+H11)&lt;&gt;0,(4.07*H11-7.6*E11-6.72*F11-1.43*G11)*100/(100-D11),"")</f>
        <v/>
      </c>
      <c r="V11" s="116" t="str">
        <f t="shared" ref="V11:V34" si="18">IF((E11+F11+G11+H11)&lt;&gt;0,E11/(F11+G11),"")</f>
        <v/>
      </c>
      <c r="W11" s="116" t="str">
        <f t="shared" ref="W11:W34" si="19">IF(G11&lt;&gt;0,F11/G11,"")</f>
        <v/>
      </c>
      <c r="X11" s="59" t="str">
        <f t="shared" ref="X11:X34" si="20">IF((E11+F11+G11+H11)&lt;&gt;0,H11/(E11+F11+G11),"")</f>
        <v/>
      </c>
      <c r="Y11" s="59" t="str">
        <f t="shared" ref="Y11:Y34" si="21">IF((2.8*E11+1.18*F11+0.65*G11)&lt;&gt;0,100*H11/(2.8*E11+1.18*F11+0.65*G11),"")</f>
        <v/>
      </c>
      <c r="Z11" s="305">
        <v>70</v>
      </c>
      <c r="AA11" s="133" t="str">
        <f t="shared" ref="AA11:AA34" si="22">IF(E11="","",(U11-Z11)^2)</f>
        <v/>
      </c>
      <c r="AB11" s="289"/>
      <c r="AC11" s="36"/>
      <c r="AD11" s="19"/>
      <c r="AE11" s="159"/>
      <c r="AF11" s="159"/>
      <c r="AG11" s="19"/>
      <c r="AH11" s="19"/>
      <c r="AI11" s="19"/>
      <c r="AJ11" s="19"/>
      <c r="AK11" s="14"/>
      <c r="AL11" s="86"/>
      <c r="AM11" s="86"/>
      <c r="AN11" s="196"/>
      <c r="AO11" s="140"/>
      <c r="AP11" s="165"/>
      <c r="AQ11" s="196"/>
      <c r="AR11" s="140"/>
      <c r="AS11" s="86"/>
      <c r="AT11" s="196"/>
      <c r="AU11" s="140"/>
      <c r="AV11" s="86"/>
      <c r="AW11" s="196"/>
      <c r="AX11" s="140"/>
      <c r="AY11" s="86"/>
      <c r="AZ11" s="196"/>
      <c r="BB11" s="332"/>
      <c r="BD11" s="344"/>
      <c r="BE11" s="349"/>
      <c r="CB11" s="10" t="s">
        <v>152</v>
      </c>
      <c r="CE11" s="10" t="s">
        <v>152</v>
      </c>
      <c r="CG11" s="10" t="s">
        <v>152</v>
      </c>
      <c r="CH11" s="10" t="s">
        <v>152</v>
      </c>
    </row>
    <row r="12" spans="1:86" s="10" customFormat="1" ht="13.5" customHeight="1">
      <c r="B12" s="3">
        <f t="shared" ref="B12:B34" si="23">B11</f>
        <v>43743</v>
      </c>
      <c r="C12" s="191">
        <v>4.1666666666666699E-2</v>
      </c>
      <c r="D12" s="179" t="str">
        <f t="shared" si="15"/>
        <v/>
      </c>
      <c r="E12" s="36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21"/>
      <c r="S12" s="36"/>
      <c r="T12" s="181" t="str">
        <f t="shared" si="16"/>
        <v/>
      </c>
      <c r="U12" s="65" t="str">
        <f t="shared" si="17"/>
        <v/>
      </c>
      <c r="V12" s="68" t="str">
        <f t="shared" si="18"/>
        <v/>
      </c>
      <c r="W12" s="68" t="str">
        <f t="shared" si="19"/>
        <v/>
      </c>
      <c r="X12" s="60" t="str">
        <f t="shared" si="20"/>
        <v/>
      </c>
      <c r="Y12" s="60" t="str">
        <f t="shared" si="21"/>
        <v/>
      </c>
      <c r="Z12" s="304">
        <v>70</v>
      </c>
      <c r="AA12" s="135" t="str">
        <f t="shared" si="22"/>
        <v/>
      </c>
      <c r="AB12" s="288"/>
      <c r="AC12" s="36"/>
      <c r="AD12" s="19"/>
      <c r="AE12" s="159"/>
      <c r="AF12" s="159"/>
      <c r="AG12" s="19"/>
      <c r="AH12" s="19"/>
      <c r="AI12" s="19"/>
      <c r="AJ12" s="19"/>
      <c r="AK12" s="21"/>
      <c r="AL12" s="87"/>
      <c r="AM12" s="87"/>
      <c r="AN12" s="80"/>
      <c r="AO12" s="199"/>
      <c r="AP12" s="87"/>
      <c r="AQ12" s="80"/>
      <c r="AR12" s="87"/>
      <c r="AS12" s="87"/>
      <c r="AT12" s="80"/>
      <c r="AU12" s="87"/>
      <c r="AV12" s="87"/>
      <c r="AW12" s="80"/>
      <c r="AX12" s="87"/>
      <c r="AY12" s="87"/>
      <c r="AZ12" s="80"/>
      <c r="BB12" s="82"/>
      <c r="BD12" s="345"/>
      <c r="BE12" s="350"/>
      <c r="CB12" s="10" t="s">
        <v>152</v>
      </c>
      <c r="CE12" s="10" t="s">
        <v>152</v>
      </c>
      <c r="CG12" s="10" t="s">
        <v>152</v>
      </c>
      <c r="CH12" s="10" t="s">
        <v>152</v>
      </c>
    </row>
    <row r="13" spans="1:86" s="10" customFormat="1" ht="14.25" customHeight="1">
      <c r="B13" s="3">
        <f t="shared" si="23"/>
        <v>43743</v>
      </c>
      <c r="C13" s="4">
        <v>8.3333333333333329E-2</v>
      </c>
      <c r="D13" s="179" t="str">
        <f t="shared" si="15"/>
        <v/>
      </c>
      <c r="E13" s="36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21"/>
      <c r="S13" s="36"/>
      <c r="T13" s="181" t="str">
        <f t="shared" si="16"/>
        <v/>
      </c>
      <c r="U13" s="65" t="str">
        <f t="shared" si="17"/>
        <v/>
      </c>
      <c r="V13" s="68" t="str">
        <f t="shared" si="18"/>
        <v/>
      </c>
      <c r="W13" s="68" t="str">
        <f t="shared" si="19"/>
        <v/>
      </c>
      <c r="X13" s="60" t="str">
        <f t="shared" si="20"/>
        <v/>
      </c>
      <c r="Y13" s="60" t="str">
        <f t="shared" si="21"/>
        <v/>
      </c>
      <c r="Z13" s="304">
        <v>70</v>
      </c>
      <c r="AA13" s="135" t="str">
        <f t="shared" si="22"/>
        <v/>
      </c>
      <c r="AB13" s="288"/>
      <c r="AC13" s="36"/>
      <c r="AD13" s="19"/>
      <c r="AE13" s="159"/>
      <c r="AF13" s="159"/>
      <c r="AG13" s="19"/>
      <c r="AH13" s="19"/>
      <c r="AI13" s="19"/>
      <c r="AJ13" s="19"/>
      <c r="AK13" s="21"/>
      <c r="AL13" s="87"/>
      <c r="AM13" s="87"/>
      <c r="AN13" s="80"/>
      <c r="AO13" s="199"/>
      <c r="AP13" s="87"/>
      <c r="AQ13" s="80"/>
      <c r="AR13" s="48"/>
      <c r="AS13" s="87"/>
      <c r="AT13" s="80"/>
      <c r="AU13" s="48"/>
      <c r="AV13" s="87"/>
      <c r="AW13" s="80"/>
      <c r="AX13" s="48"/>
      <c r="AY13" s="87"/>
      <c r="AZ13" s="80"/>
      <c r="BB13" s="82"/>
      <c r="BD13" s="345"/>
      <c r="BE13" s="350"/>
      <c r="CB13" s="10" t="s">
        <v>152</v>
      </c>
      <c r="CE13" s="10" t="s">
        <v>152</v>
      </c>
      <c r="CG13" s="10" t="s">
        <v>152</v>
      </c>
      <c r="CH13" s="10" t="s">
        <v>152</v>
      </c>
    </row>
    <row r="14" spans="1:86" s="10" customFormat="1" ht="14.25" customHeight="1">
      <c r="B14" s="3">
        <f t="shared" si="23"/>
        <v>43743</v>
      </c>
      <c r="C14" s="4">
        <v>0.125</v>
      </c>
      <c r="D14" s="179" t="str">
        <f t="shared" si="15"/>
        <v/>
      </c>
      <c r="E14" s="36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21"/>
      <c r="S14" s="36"/>
      <c r="T14" s="181" t="str">
        <f t="shared" si="16"/>
        <v/>
      </c>
      <c r="U14" s="65" t="str">
        <f t="shared" si="17"/>
        <v/>
      </c>
      <c r="V14" s="68" t="str">
        <f t="shared" si="18"/>
        <v/>
      </c>
      <c r="W14" s="68" t="str">
        <f t="shared" si="19"/>
        <v/>
      </c>
      <c r="X14" s="60" t="str">
        <f t="shared" si="20"/>
        <v/>
      </c>
      <c r="Y14" s="60" t="str">
        <f t="shared" si="21"/>
        <v/>
      </c>
      <c r="Z14" s="304">
        <v>70</v>
      </c>
      <c r="AA14" s="135" t="str">
        <f t="shared" si="22"/>
        <v/>
      </c>
      <c r="AB14" s="288"/>
      <c r="AC14" s="36"/>
      <c r="AD14" s="19"/>
      <c r="AE14" s="159"/>
      <c r="AF14" s="159"/>
      <c r="AG14" s="19"/>
      <c r="AH14" s="19"/>
      <c r="AI14" s="19"/>
      <c r="AJ14" s="19"/>
      <c r="AK14" s="21"/>
      <c r="AL14" s="87"/>
      <c r="AM14" s="87"/>
      <c r="AN14" s="80"/>
      <c r="AO14" s="199"/>
      <c r="AP14" s="87"/>
      <c r="AQ14" s="80"/>
      <c r="AR14" s="48"/>
      <c r="AS14" s="87"/>
      <c r="AT14" s="80"/>
      <c r="AU14" s="48"/>
      <c r="AV14" s="87"/>
      <c r="AW14" s="80"/>
      <c r="AX14" s="48"/>
      <c r="AY14" s="87"/>
      <c r="AZ14" s="80"/>
      <c r="BB14" s="82"/>
      <c r="BD14" s="345"/>
      <c r="BE14" s="350"/>
      <c r="CB14" s="10" t="s">
        <v>152</v>
      </c>
      <c r="CE14" s="10" t="s">
        <v>152</v>
      </c>
      <c r="CG14" s="10" t="s">
        <v>152</v>
      </c>
      <c r="CH14" s="10" t="s">
        <v>152</v>
      </c>
    </row>
    <row r="15" spans="1:86" s="10" customFormat="1" ht="14.25" customHeight="1">
      <c r="B15" s="3">
        <f t="shared" si="23"/>
        <v>43743</v>
      </c>
      <c r="C15" s="4">
        <v>0.16666666666666666</v>
      </c>
      <c r="D15" s="179" t="str">
        <f t="shared" si="15"/>
        <v/>
      </c>
      <c r="E15" s="36"/>
      <c r="F15" s="19"/>
      <c r="G15" s="19"/>
      <c r="H15" s="19"/>
      <c r="I15" s="19"/>
      <c r="J15" s="19"/>
      <c r="K15" s="19"/>
      <c r="L15" s="228"/>
      <c r="M15" s="19"/>
      <c r="N15" s="19"/>
      <c r="O15" s="19"/>
      <c r="P15" s="19"/>
      <c r="Q15" s="201"/>
      <c r="R15" s="21"/>
      <c r="S15" s="36"/>
      <c r="T15" s="181" t="str">
        <f t="shared" si="16"/>
        <v/>
      </c>
      <c r="U15" s="65" t="str">
        <f t="shared" si="17"/>
        <v/>
      </c>
      <c r="V15" s="68" t="str">
        <f t="shared" si="18"/>
        <v/>
      </c>
      <c r="W15" s="68" t="str">
        <f t="shared" si="19"/>
        <v/>
      </c>
      <c r="X15" s="60" t="str">
        <f t="shared" si="20"/>
        <v/>
      </c>
      <c r="Y15" s="60" t="str">
        <f t="shared" si="21"/>
        <v/>
      </c>
      <c r="Z15" s="304">
        <v>70</v>
      </c>
      <c r="AA15" s="135" t="str">
        <f t="shared" si="22"/>
        <v/>
      </c>
      <c r="AB15" s="288"/>
      <c r="AC15" s="36"/>
      <c r="AD15" s="19"/>
      <c r="AE15" s="159"/>
      <c r="AF15" s="159"/>
      <c r="AG15" s="19"/>
      <c r="AH15" s="19"/>
      <c r="AI15" s="19"/>
      <c r="AJ15" s="19"/>
      <c r="AK15" s="21"/>
      <c r="AL15" s="87"/>
      <c r="AM15" s="165"/>
      <c r="AN15" s="80"/>
      <c r="AO15" s="199"/>
      <c r="AP15" s="267"/>
      <c r="AQ15" s="87"/>
      <c r="AR15" s="48"/>
      <c r="AS15" s="87"/>
      <c r="AT15" s="80"/>
      <c r="AU15" s="48"/>
      <c r="AV15" s="87"/>
      <c r="AW15" s="80"/>
      <c r="AX15" s="48"/>
      <c r="AY15" s="87"/>
      <c r="AZ15" s="80"/>
      <c r="BB15" s="82"/>
      <c r="BD15" s="345"/>
      <c r="BE15" s="350"/>
      <c r="CB15" s="10" t="s">
        <v>152</v>
      </c>
      <c r="CE15" s="10" t="s">
        <v>152</v>
      </c>
      <c r="CG15" s="10" t="s">
        <v>152</v>
      </c>
      <c r="CH15" s="10" t="s">
        <v>152</v>
      </c>
    </row>
    <row r="16" spans="1:86" s="10" customFormat="1" ht="14.25" customHeight="1">
      <c r="B16" s="3">
        <f t="shared" si="23"/>
        <v>43743</v>
      </c>
      <c r="C16" s="4">
        <v>0.20833333333333334</v>
      </c>
      <c r="D16" s="179" t="str">
        <f t="shared" si="15"/>
        <v/>
      </c>
      <c r="E16" s="200"/>
      <c r="F16" s="201"/>
      <c r="G16" s="201"/>
      <c r="H16" s="201"/>
      <c r="I16" s="19"/>
      <c r="J16" s="201"/>
      <c r="K16" s="201"/>
      <c r="L16" s="201"/>
      <c r="M16" s="201"/>
      <c r="N16" s="201"/>
      <c r="O16" s="201"/>
      <c r="P16" s="201"/>
      <c r="Q16" s="201"/>
      <c r="R16" s="287"/>
      <c r="S16" s="36"/>
      <c r="T16" s="181" t="str">
        <f t="shared" si="16"/>
        <v/>
      </c>
      <c r="U16" s="65" t="str">
        <f t="shared" si="17"/>
        <v/>
      </c>
      <c r="V16" s="68" t="str">
        <f t="shared" si="18"/>
        <v/>
      </c>
      <c r="W16" s="68" t="str">
        <f t="shared" si="19"/>
        <v/>
      </c>
      <c r="X16" s="60" t="str">
        <f t="shared" si="20"/>
        <v/>
      </c>
      <c r="Y16" s="60" t="str">
        <f t="shared" si="21"/>
        <v/>
      </c>
      <c r="Z16" s="304">
        <v>70</v>
      </c>
      <c r="AA16" s="135" t="str">
        <f t="shared" si="22"/>
        <v/>
      </c>
      <c r="AB16" s="288"/>
      <c r="AC16" s="385"/>
      <c r="AD16" s="386"/>
      <c r="AE16" s="387"/>
      <c r="AF16" s="387"/>
      <c r="AG16" s="386"/>
      <c r="AH16" s="386"/>
      <c r="AI16" s="386"/>
      <c r="AJ16" s="386"/>
      <c r="AK16" s="21"/>
      <c r="AL16" s="87"/>
      <c r="AM16" s="87"/>
      <c r="AN16" s="80"/>
      <c r="AO16" s="199"/>
      <c r="AP16" s="267"/>
      <c r="AQ16" s="87"/>
      <c r="AR16" s="48"/>
      <c r="AS16" s="87"/>
      <c r="AT16" s="80"/>
      <c r="AU16" s="48"/>
      <c r="AV16" s="87"/>
      <c r="AW16" s="80"/>
      <c r="AX16" s="48"/>
      <c r="AY16" s="87"/>
      <c r="AZ16" s="80"/>
      <c r="BB16" s="82"/>
      <c r="BD16" s="345"/>
      <c r="BE16" s="350"/>
      <c r="CB16" s="10" t="s">
        <v>152</v>
      </c>
      <c r="CE16" s="10" t="s">
        <v>152</v>
      </c>
      <c r="CG16" s="10" t="s">
        <v>152</v>
      </c>
      <c r="CH16" s="10" t="s">
        <v>152</v>
      </c>
    </row>
    <row r="17" spans="2:87" s="10" customFormat="1" ht="14.25" customHeight="1">
      <c r="B17" s="3">
        <f t="shared" si="23"/>
        <v>43743</v>
      </c>
      <c r="C17" s="4">
        <v>0.25</v>
      </c>
      <c r="D17" s="179" t="str">
        <f t="shared" si="15"/>
        <v/>
      </c>
      <c r="E17" s="36"/>
      <c r="F17" s="19"/>
      <c r="G17" s="201"/>
      <c r="H17" s="19"/>
      <c r="I17" s="201"/>
      <c r="J17" s="19"/>
      <c r="K17" s="228"/>
      <c r="L17" s="19"/>
      <c r="M17" s="19"/>
      <c r="N17" s="19"/>
      <c r="O17" s="19"/>
      <c r="P17" s="19"/>
      <c r="Q17" s="201"/>
      <c r="R17" s="21"/>
      <c r="S17" s="36"/>
      <c r="T17" s="181" t="str">
        <f t="shared" si="16"/>
        <v/>
      </c>
      <c r="U17" s="65" t="str">
        <f t="shared" si="17"/>
        <v/>
      </c>
      <c r="V17" s="68" t="str">
        <f t="shared" si="18"/>
        <v/>
      </c>
      <c r="W17" s="68" t="str">
        <f t="shared" si="19"/>
        <v/>
      </c>
      <c r="X17" s="60" t="str">
        <f t="shared" si="20"/>
        <v/>
      </c>
      <c r="Y17" s="60" t="str">
        <f t="shared" si="21"/>
        <v/>
      </c>
      <c r="Z17" s="304">
        <v>70</v>
      </c>
      <c r="AA17" s="135" t="str">
        <f t="shared" si="22"/>
        <v/>
      </c>
      <c r="AB17" s="288"/>
      <c r="AC17" s="36"/>
      <c r="AD17" s="19"/>
      <c r="AE17" s="159"/>
      <c r="AF17" s="159"/>
      <c r="AG17" s="19"/>
      <c r="AH17" s="19"/>
      <c r="AI17" s="19"/>
      <c r="AJ17" s="19"/>
      <c r="AK17" s="21"/>
      <c r="AL17" s="87"/>
      <c r="AM17" s="87"/>
      <c r="AN17" s="80"/>
      <c r="AO17" s="199"/>
      <c r="AP17" s="269"/>
      <c r="AQ17" s="87"/>
      <c r="AR17" s="48"/>
      <c r="AS17" s="87"/>
      <c r="AT17" s="80"/>
      <c r="AU17" s="48"/>
      <c r="AV17" s="87"/>
      <c r="AW17" s="80"/>
      <c r="AX17" s="48"/>
      <c r="AY17" s="87"/>
      <c r="AZ17" s="80"/>
      <c r="BB17" s="82"/>
      <c r="BD17" s="345"/>
      <c r="BE17" s="350"/>
      <c r="CB17" s="10" t="s">
        <v>152</v>
      </c>
      <c r="CE17" s="10" t="s">
        <v>152</v>
      </c>
      <c r="CG17" s="10" t="s">
        <v>152</v>
      </c>
      <c r="CH17" s="10" t="s">
        <v>152</v>
      </c>
    </row>
    <row r="18" spans="2:87" s="10" customFormat="1" ht="13.5" customHeight="1" thickBot="1">
      <c r="B18" s="78">
        <f t="shared" si="23"/>
        <v>43743</v>
      </c>
      <c r="C18" s="253">
        <v>0.29166666666666669</v>
      </c>
      <c r="D18" s="239" t="str">
        <f t="shared" si="15"/>
        <v/>
      </c>
      <c r="E18" s="200"/>
      <c r="F18" s="201"/>
      <c r="G18" s="201"/>
      <c r="H18" s="201"/>
      <c r="I18" s="19"/>
      <c r="J18" s="201"/>
      <c r="K18" s="201"/>
      <c r="L18" s="201"/>
      <c r="M18" s="201"/>
      <c r="N18" s="201"/>
      <c r="O18" s="201"/>
      <c r="P18" s="201"/>
      <c r="Q18" s="201"/>
      <c r="R18" s="287"/>
      <c r="S18" s="37"/>
      <c r="T18" s="240" t="str">
        <f t="shared" si="16"/>
        <v/>
      </c>
      <c r="U18" s="66" t="str">
        <f t="shared" si="17"/>
        <v/>
      </c>
      <c r="V18" s="241" t="str">
        <f t="shared" si="18"/>
        <v/>
      </c>
      <c r="W18" s="241" t="str">
        <f t="shared" si="19"/>
        <v/>
      </c>
      <c r="X18" s="62" t="str">
        <f t="shared" si="20"/>
        <v/>
      </c>
      <c r="Y18" s="62" t="str">
        <f t="shared" si="21"/>
        <v/>
      </c>
      <c r="Z18" s="359">
        <v>70</v>
      </c>
      <c r="AA18" s="167" t="str">
        <f t="shared" si="22"/>
        <v/>
      </c>
      <c r="AB18" s="288"/>
      <c r="AC18" s="36"/>
      <c r="AD18" s="19"/>
      <c r="AE18" s="159"/>
      <c r="AF18" s="159"/>
      <c r="AG18" s="19"/>
      <c r="AH18" s="19"/>
      <c r="AI18" s="19"/>
      <c r="AJ18" s="19"/>
      <c r="AK18" s="25"/>
      <c r="AL18" s="88"/>
      <c r="AM18" s="88"/>
      <c r="AN18" s="80"/>
      <c r="AO18" s="49"/>
      <c r="AP18" s="88"/>
      <c r="AQ18" s="280"/>
      <c r="AR18" s="49"/>
      <c r="AS18" s="88"/>
      <c r="AT18" s="280"/>
      <c r="AU18" s="49"/>
      <c r="AV18" s="88"/>
      <c r="AW18" s="280"/>
      <c r="AX18" s="49"/>
      <c r="AY18" s="88"/>
      <c r="AZ18" s="280"/>
      <c r="BB18" s="82"/>
      <c r="BD18" s="381"/>
      <c r="BE18" s="351"/>
      <c r="CB18" s="10" t="s">
        <v>152</v>
      </c>
      <c r="CE18" s="10" t="s">
        <v>152</v>
      </c>
      <c r="CG18" s="10" t="s">
        <v>152</v>
      </c>
      <c r="CH18" s="10" t="s">
        <v>152</v>
      </c>
      <c r="CI18" s="9"/>
    </row>
    <row r="19" spans="2:87" s="10" customFormat="1" ht="13.5" customHeight="1">
      <c r="B19" s="79">
        <f t="shared" si="23"/>
        <v>43743</v>
      </c>
      <c r="C19" s="264">
        <v>0.33333333333333298</v>
      </c>
      <c r="D19" s="338" t="str">
        <f t="shared" si="15"/>
        <v/>
      </c>
      <c r="E19" s="388"/>
      <c r="F19" s="13"/>
      <c r="G19" s="13"/>
      <c r="H19" s="13"/>
      <c r="I19" s="362"/>
      <c r="J19" s="13"/>
      <c r="K19" s="13"/>
      <c r="L19" s="13"/>
      <c r="M19" s="13"/>
      <c r="N19" s="13"/>
      <c r="O19" s="13"/>
      <c r="P19" s="13"/>
      <c r="Q19" s="13"/>
      <c r="R19" s="14"/>
      <c r="S19" s="275"/>
      <c r="T19" s="333" t="str">
        <f t="shared" si="16"/>
        <v/>
      </c>
      <c r="U19" s="207" t="str">
        <f t="shared" si="17"/>
        <v/>
      </c>
      <c r="V19" s="339" t="str">
        <f t="shared" si="18"/>
        <v/>
      </c>
      <c r="W19" s="339" t="str">
        <f t="shared" si="19"/>
        <v/>
      </c>
      <c r="X19" s="83" t="str">
        <f t="shared" si="20"/>
        <v/>
      </c>
      <c r="Y19" s="83" t="str">
        <f t="shared" si="21"/>
        <v/>
      </c>
      <c r="Z19" s="305">
        <v>70</v>
      </c>
      <c r="AA19" s="134" t="str">
        <f t="shared" si="22"/>
        <v/>
      </c>
      <c r="AB19" s="322"/>
      <c r="AC19" s="35"/>
      <c r="AD19" s="13"/>
      <c r="AE19" s="184"/>
      <c r="AF19" s="184"/>
      <c r="AG19" s="13"/>
      <c r="AH19" s="13"/>
      <c r="AI19" s="13"/>
      <c r="AJ19" s="13"/>
      <c r="AK19" s="14"/>
      <c r="AL19" s="86"/>
      <c r="AM19" s="86"/>
      <c r="AN19" s="196"/>
      <c r="AO19" s="140"/>
      <c r="AP19" s="86"/>
      <c r="AQ19" s="196"/>
      <c r="AR19" s="140"/>
      <c r="AS19" s="86"/>
      <c r="AT19" s="196"/>
      <c r="AU19" s="140"/>
      <c r="AV19" s="86"/>
      <c r="AW19" s="196"/>
      <c r="AX19" s="140"/>
      <c r="AY19" s="86"/>
      <c r="AZ19" s="196"/>
      <c r="BB19" s="140"/>
      <c r="BD19" s="347"/>
      <c r="BE19" s="352"/>
      <c r="CB19" s="10" t="s">
        <v>152</v>
      </c>
      <c r="CE19" s="10" t="s">
        <v>152</v>
      </c>
      <c r="CG19" s="10" t="s">
        <v>152</v>
      </c>
      <c r="CH19" s="10" t="s">
        <v>152</v>
      </c>
    </row>
    <row r="20" spans="2:87" s="10" customFormat="1" ht="13.5" customHeight="1">
      <c r="B20" s="5">
        <f>B19</f>
        <v>43743</v>
      </c>
      <c r="C20" s="265">
        <v>0.375</v>
      </c>
      <c r="D20" s="179" t="str">
        <f t="shared" si="15"/>
        <v/>
      </c>
      <c r="E20" s="38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7"/>
      <c r="S20" s="17"/>
      <c r="T20" s="181" t="str">
        <f t="shared" si="16"/>
        <v/>
      </c>
      <c r="U20" s="65" t="str">
        <f t="shared" si="17"/>
        <v/>
      </c>
      <c r="V20" s="68" t="str">
        <f t="shared" si="18"/>
        <v/>
      </c>
      <c r="W20" s="68" t="str">
        <f t="shared" si="19"/>
        <v/>
      </c>
      <c r="X20" s="60" t="str">
        <f t="shared" si="20"/>
        <v/>
      </c>
      <c r="Y20" s="60" t="str">
        <f t="shared" si="21"/>
        <v/>
      </c>
      <c r="Z20" s="304">
        <v>70</v>
      </c>
      <c r="AA20" s="135" t="str">
        <f t="shared" si="22"/>
        <v/>
      </c>
      <c r="AB20" s="320"/>
      <c r="AC20" s="36"/>
      <c r="AD20" s="19"/>
      <c r="AE20" s="159"/>
      <c r="AF20" s="159"/>
      <c r="AG20" s="19"/>
      <c r="AH20" s="19"/>
      <c r="AI20" s="19"/>
      <c r="AJ20" s="19"/>
      <c r="AK20" s="21"/>
      <c r="AL20" s="82"/>
      <c r="AM20" s="87"/>
      <c r="AN20" s="80"/>
      <c r="AO20" s="199"/>
      <c r="AP20" s="87"/>
      <c r="AQ20" s="80"/>
      <c r="AR20" s="87"/>
      <c r="AS20" s="87"/>
      <c r="AT20" s="80"/>
      <c r="AU20" s="87"/>
      <c r="AV20" s="87"/>
      <c r="AW20" s="80"/>
      <c r="AX20" s="87"/>
      <c r="AY20" s="87"/>
      <c r="AZ20" s="80"/>
      <c r="BB20" s="82"/>
      <c r="BD20" s="345"/>
      <c r="BE20" s="350"/>
      <c r="CB20" s="10" t="s">
        <v>152</v>
      </c>
      <c r="CE20" s="10" t="s">
        <v>152</v>
      </c>
      <c r="CG20" s="10" t="s">
        <v>152</v>
      </c>
      <c r="CH20" s="10" t="s">
        <v>152</v>
      </c>
    </row>
    <row r="21" spans="2:87" s="10" customFormat="1" ht="13.5" customHeight="1">
      <c r="B21" s="5">
        <f t="shared" si="23"/>
        <v>43743</v>
      </c>
      <c r="C21" s="265">
        <v>0.41666666666666602</v>
      </c>
      <c r="D21" s="179" t="str">
        <f t="shared" si="15"/>
        <v/>
      </c>
      <c r="E21" s="36"/>
      <c r="F21" s="19"/>
      <c r="G21" s="19"/>
      <c r="H21" s="19"/>
      <c r="I21" s="201"/>
      <c r="J21" s="19"/>
      <c r="K21" s="19"/>
      <c r="L21" s="19"/>
      <c r="M21" s="19"/>
      <c r="N21" s="19"/>
      <c r="O21" s="19"/>
      <c r="P21" s="19"/>
      <c r="Q21" s="19"/>
      <c r="R21" s="21"/>
      <c r="S21" s="17"/>
      <c r="T21" s="181" t="str">
        <f t="shared" si="16"/>
        <v/>
      </c>
      <c r="U21" s="65" t="str">
        <f t="shared" si="17"/>
        <v/>
      </c>
      <c r="V21" s="68" t="str">
        <f t="shared" si="18"/>
        <v/>
      </c>
      <c r="W21" s="68" t="str">
        <f t="shared" si="19"/>
        <v/>
      </c>
      <c r="X21" s="60" t="str">
        <f t="shared" si="20"/>
        <v/>
      </c>
      <c r="Y21" s="60" t="str">
        <f t="shared" si="21"/>
        <v/>
      </c>
      <c r="Z21" s="304">
        <v>70</v>
      </c>
      <c r="AA21" s="135" t="str">
        <f t="shared" si="22"/>
        <v/>
      </c>
      <c r="AB21" s="320"/>
      <c r="AC21" s="36"/>
      <c r="AD21" s="19"/>
      <c r="AE21" s="159"/>
      <c r="AF21" s="159"/>
      <c r="AG21" s="19"/>
      <c r="AH21" s="19"/>
      <c r="AI21" s="19"/>
      <c r="AJ21" s="19"/>
      <c r="AK21" s="21"/>
      <c r="AL21" s="48"/>
      <c r="AM21" s="87"/>
      <c r="AN21" s="80"/>
      <c r="AO21" s="199"/>
      <c r="AP21" s="87"/>
      <c r="AQ21" s="80"/>
      <c r="AR21" s="48"/>
      <c r="AS21" s="87"/>
      <c r="AT21" s="80"/>
      <c r="AU21" s="48"/>
      <c r="AV21" s="87"/>
      <c r="AW21" s="80"/>
      <c r="AX21" s="48"/>
      <c r="AY21" s="87"/>
      <c r="AZ21" s="80"/>
      <c r="BB21" s="82"/>
      <c r="BD21" s="345"/>
      <c r="BE21" s="350"/>
      <c r="CB21" s="10" t="s">
        <v>152</v>
      </c>
      <c r="CE21" s="10" t="s">
        <v>152</v>
      </c>
      <c r="CG21" s="10" t="s">
        <v>152</v>
      </c>
      <c r="CH21" s="10" t="s">
        <v>152</v>
      </c>
    </row>
    <row r="22" spans="2:87" s="10" customFormat="1" ht="14.25" customHeight="1">
      <c r="B22" s="5">
        <f t="shared" si="23"/>
        <v>43743</v>
      </c>
      <c r="C22" s="265">
        <v>0.45833333333333298</v>
      </c>
      <c r="D22" s="179" t="str">
        <f t="shared" si="15"/>
        <v/>
      </c>
      <c r="E22" s="36"/>
      <c r="F22" s="19"/>
      <c r="G22" s="19"/>
      <c r="H22" s="19"/>
      <c r="I22" s="19"/>
      <c r="J22" s="201"/>
      <c r="K22" s="201"/>
      <c r="L22" s="201"/>
      <c r="M22" s="201"/>
      <c r="N22" s="201"/>
      <c r="O22" s="201"/>
      <c r="P22" s="201"/>
      <c r="Q22" s="201"/>
      <c r="R22" s="287"/>
      <c r="S22" s="17"/>
      <c r="T22" s="181" t="str">
        <f t="shared" si="16"/>
        <v/>
      </c>
      <c r="U22" s="65" t="str">
        <f t="shared" si="17"/>
        <v/>
      </c>
      <c r="V22" s="68" t="str">
        <f t="shared" si="18"/>
        <v/>
      </c>
      <c r="W22" s="68" t="str">
        <f t="shared" si="19"/>
        <v/>
      </c>
      <c r="X22" s="60" t="str">
        <f t="shared" si="20"/>
        <v/>
      </c>
      <c r="Y22" s="60" t="str">
        <f t="shared" si="21"/>
        <v/>
      </c>
      <c r="Z22" s="304">
        <v>70</v>
      </c>
      <c r="AA22" s="135" t="str">
        <f t="shared" si="22"/>
        <v/>
      </c>
      <c r="AB22" s="320"/>
      <c r="AC22" s="36"/>
      <c r="AD22" s="19"/>
      <c r="AE22" s="159"/>
      <c r="AF22" s="159"/>
      <c r="AG22" s="19"/>
      <c r="AH22" s="19"/>
      <c r="AI22" s="19"/>
      <c r="AJ22" s="19"/>
      <c r="AK22" s="21"/>
      <c r="AL22" s="87"/>
      <c r="AM22" s="87"/>
      <c r="AN22" s="80"/>
      <c r="AO22" s="199"/>
      <c r="AP22" s="87"/>
      <c r="AQ22" s="80"/>
      <c r="AR22" s="48"/>
      <c r="AS22" s="87"/>
      <c r="AT22" s="80"/>
      <c r="AU22" s="48"/>
      <c r="AV22" s="87"/>
      <c r="AW22" s="80"/>
      <c r="AX22" s="48"/>
      <c r="AY22" s="87"/>
      <c r="AZ22" s="80"/>
      <c r="BA22" s="117"/>
      <c r="BB22" s="82"/>
      <c r="BD22" s="345"/>
      <c r="BE22" s="350"/>
      <c r="CB22" s="10" t="s">
        <v>152</v>
      </c>
      <c r="CE22" s="10" t="s">
        <v>152</v>
      </c>
      <c r="CG22" s="10" t="s">
        <v>152</v>
      </c>
      <c r="CH22" s="10" t="s">
        <v>152</v>
      </c>
    </row>
    <row r="23" spans="2:87" s="10" customFormat="1" ht="13.5" customHeight="1">
      <c r="B23" s="5">
        <f t="shared" si="23"/>
        <v>43743</v>
      </c>
      <c r="C23" s="265">
        <v>0.5</v>
      </c>
      <c r="D23" s="179" t="str">
        <f t="shared" si="15"/>
        <v/>
      </c>
      <c r="E23" s="36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229"/>
      <c r="R23" s="21"/>
      <c r="S23" s="17"/>
      <c r="T23" s="181" t="str">
        <f t="shared" si="16"/>
        <v/>
      </c>
      <c r="U23" s="65" t="str">
        <f t="shared" si="17"/>
        <v/>
      </c>
      <c r="V23" s="68" t="str">
        <f t="shared" si="18"/>
        <v/>
      </c>
      <c r="W23" s="68" t="str">
        <f t="shared" si="19"/>
        <v/>
      </c>
      <c r="X23" s="60" t="str">
        <f t="shared" si="20"/>
        <v/>
      </c>
      <c r="Y23" s="60" t="str">
        <f t="shared" si="21"/>
        <v/>
      </c>
      <c r="Z23" s="304">
        <v>70</v>
      </c>
      <c r="AA23" s="135" t="str">
        <f t="shared" si="22"/>
        <v/>
      </c>
      <c r="AB23" s="320"/>
      <c r="AC23" s="36"/>
      <c r="AD23" s="19"/>
      <c r="AE23" s="334"/>
      <c r="AF23" s="159"/>
      <c r="AG23" s="19"/>
      <c r="AH23" s="19"/>
      <c r="AI23" s="19"/>
      <c r="AJ23" s="19"/>
      <c r="AK23" s="21"/>
      <c r="AL23" s="87"/>
      <c r="AM23" s="165"/>
      <c r="AN23" s="80"/>
      <c r="AO23" s="199"/>
      <c r="AP23" s="267"/>
      <c r="AQ23" s="87"/>
      <c r="AR23" s="48"/>
      <c r="AS23" s="87"/>
      <c r="AT23" s="80"/>
      <c r="AU23" s="48"/>
      <c r="AV23" s="87"/>
      <c r="AW23" s="80"/>
      <c r="AX23" s="48"/>
      <c r="AY23" s="87"/>
      <c r="AZ23" s="80"/>
      <c r="BB23" s="82"/>
      <c r="BD23" s="345"/>
      <c r="BE23" s="350"/>
      <c r="CB23" s="10" t="s">
        <v>152</v>
      </c>
      <c r="CE23" s="10" t="s">
        <v>152</v>
      </c>
      <c r="CG23" s="10" t="s">
        <v>152</v>
      </c>
      <c r="CH23" s="10" t="s">
        <v>152</v>
      </c>
    </row>
    <row r="24" spans="2:87" s="10" customFormat="1" ht="13.5" customHeight="1">
      <c r="B24" s="5">
        <f t="shared" si="23"/>
        <v>43743</v>
      </c>
      <c r="C24" s="265">
        <v>0.54166666666666663</v>
      </c>
      <c r="D24" s="179" t="str">
        <f t="shared" si="15"/>
        <v/>
      </c>
      <c r="E24" s="36"/>
      <c r="F24" s="19"/>
      <c r="G24" s="19"/>
      <c r="H24" s="19"/>
      <c r="I24" s="19"/>
      <c r="J24" s="201"/>
      <c r="K24" s="201"/>
      <c r="L24" s="201"/>
      <c r="M24" s="201"/>
      <c r="N24" s="201"/>
      <c r="O24" s="201"/>
      <c r="P24" s="201"/>
      <c r="Q24" s="201"/>
      <c r="R24" s="287"/>
      <c r="S24" s="17"/>
      <c r="T24" s="181" t="str">
        <f t="shared" si="16"/>
        <v/>
      </c>
      <c r="U24" s="65" t="str">
        <f t="shared" si="17"/>
        <v/>
      </c>
      <c r="V24" s="68" t="str">
        <f t="shared" si="18"/>
        <v/>
      </c>
      <c r="W24" s="68" t="str">
        <f t="shared" si="19"/>
        <v/>
      </c>
      <c r="X24" s="60" t="str">
        <f t="shared" si="20"/>
        <v/>
      </c>
      <c r="Y24" s="60" t="str">
        <f t="shared" si="21"/>
        <v/>
      </c>
      <c r="Z24" s="304">
        <v>70</v>
      </c>
      <c r="AA24" s="135" t="str">
        <f t="shared" si="22"/>
        <v/>
      </c>
      <c r="AB24" s="320"/>
      <c r="AC24" s="36"/>
      <c r="AD24" s="19"/>
      <c r="AE24" s="159"/>
      <c r="AF24" s="159"/>
      <c r="AG24" s="19"/>
      <c r="AH24" s="19"/>
      <c r="AI24" s="19"/>
      <c r="AJ24" s="19"/>
      <c r="AK24" s="21"/>
      <c r="AL24" s="87"/>
      <c r="AM24" s="87"/>
      <c r="AN24" s="80"/>
      <c r="AO24" s="199"/>
      <c r="AP24" s="267"/>
      <c r="AQ24" s="87"/>
      <c r="AR24" s="48"/>
      <c r="AS24" s="87"/>
      <c r="AT24" s="80"/>
      <c r="AU24" s="48"/>
      <c r="AV24" s="87"/>
      <c r="AW24" s="80"/>
      <c r="AX24" s="48"/>
      <c r="AY24" s="87"/>
      <c r="AZ24" s="80"/>
      <c r="BA24" s="117"/>
      <c r="BB24" s="82"/>
      <c r="BD24" s="345"/>
      <c r="BE24" s="350"/>
      <c r="CB24" s="10" t="s">
        <v>152</v>
      </c>
      <c r="CE24" s="10" t="s">
        <v>152</v>
      </c>
      <c r="CG24" s="10" t="s">
        <v>152</v>
      </c>
      <c r="CH24" s="10" t="s">
        <v>152</v>
      </c>
    </row>
    <row r="25" spans="2:87" s="10" customFormat="1" ht="13.5" customHeight="1">
      <c r="B25" s="5">
        <f t="shared" si="23"/>
        <v>43743</v>
      </c>
      <c r="C25" s="265">
        <v>0.58333333333333304</v>
      </c>
      <c r="D25" s="179" t="str">
        <f t="shared" si="15"/>
        <v/>
      </c>
      <c r="E25" s="36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328"/>
      <c r="S25" s="17"/>
      <c r="T25" s="181" t="str">
        <f t="shared" si="16"/>
        <v/>
      </c>
      <c r="U25" s="65" t="str">
        <f t="shared" si="17"/>
        <v/>
      </c>
      <c r="V25" s="68" t="str">
        <f t="shared" si="18"/>
        <v/>
      </c>
      <c r="W25" s="68" t="str">
        <f t="shared" si="19"/>
        <v/>
      </c>
      <c r="X25" s="60" t="str">
        <f t="shared" si="20"/>
        <v/>
      </c>
      <c r="Y25" s="60" t="str">
        <f t="shared" si="21"/>
        <v/>
      </c>
      <c r="Z25" s="304">
        <v>70</v>
      </c>
      <c r="AA25" s="135" t="str">
        <f t="shared" si="22"/>
        <v/>
      </c>
      <c r="AB25" s="320"/>
      <c r="AC25" s="36"/>
      <c r="AD25" s="19"/>
      <c r="AE25" s="159"/>
      <c r="AF25" s="159"/>
      <c r="AG25" s="19"/>
      <c r="AH25" s="19"/>
      <c r="AI25" s="19"/>
      <c r="AJ25" s="19"/>
      <c r="AK25" s="21"/>
      <c r="AL25" s="87"/>
      <c r="AM25" s="87"/>
      <c r="AN25" s="80"/>
      <c r="AO25" s="199"/>
      <c r="AP25" s="269"/>
      <c r="AQ25" s="87"/>
      <c r="AR25" s="48"/>
      <c r="AS25" s="87"/>
      <c r="AT25" s="80"/>
      <c r="AU25" s="48"/>
      <c r="AV25" s="87"/>
      <c r="AW25" s="80"/>
      <c r="AX25" s="48"/>
      <c r="AY25" s="87"/>
      <c r="AZ25" s="80"/>
      <c r="BA25" s="117"/>
      <c r="BB25" s="82"/>
      <c r="BD25" s="345"/>
      <c r="BE25" s="350"/>
      <c r="CB25" s="10" t="s">
        <v>152</v>
      </c>
      <c r="CE25" s="10" t="s">
        <v>152</v>
      </c>
      <c r="CG25" s="10" t="s">
        <v>152</v>
      </c>
      <c r="CH25" s="10" t="s">
        <v>152</v>
      </c>
    </row>
    <row r="26" spans="2:87" s="10" customFormat="1" ht="13.5" customHeight="1" thickBot="1">
      <c r="B26" s="7">
        <f t="shared" si="23"/>
        <v>43743</v>
      </c>
      <c r="C26" s="266">
        <v>0.625000000000001</v>
      </c>
      <c r="D26" s="187" t="str">
        <f t="shared" si="15"/>
        <v/>
      </c>
      <c r="E26" s="37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5"/>
      <c r="S26" s="150"/>
      <c r="T26" s="340" t="str">
        <f t="shared" si="16"/>
        <v/>
      </c>
      <c r="U26" s="185" t="str">
        <f t="shared" si="17"/>
        <v/>
      </c>
      <c r="V26" s="341" t="str">
        <f t="shared" si="18"/>
        <v/>
      </c>
      <c r="W26" s="341" t="str">
        <f t="shared" si="19"/>
        <v/>
      </c>
      <c r="X26" s="55" t="str">
        <f t="shared" si="20"/>
        <v/>
      </c>
      <c r="Y26" s="55" t="str">
        <f t="shared" si="21"/>
        <v/>
      </c>
      <c r="Z26" s="359">
        <v>70</v>
      </c>
      <c r="AA26" s="171" t="str">
        <f t="shared" si="22"/>
        <v/>
      </c>
      <c r="AB26" s="320"/>
      <c r="AC26" s="37"/>
      <c r="AD26" s="24"/>
      <c r="AE26" s="313"/>
      <c r="AF26" s="313"/>
      <c r="AG26" s="24"/>
      <c r="AH26" s="24"/>
      <c r="AI26" s="24"/>
      <c r="AJ26" s="24"/>
      <c r="AK26" s="25"/>
      <c r="AL26" s="111"/>
      <c r="AM26" s="88"/>
      <c r="AN26" s="88"/>
      <c r="AO26" s="314"/>
      <c r="AP26" s="268"/>
      <c r="AQ26" s="88"/>
      <c r="AR26" s="82"/>
      <c r="AS26" s="88"/>
      <c r="AT26" s="176"/>
      <c r="AU26" s="82"/>
      <c r="AV26" s="88"/>
      <c r="AW26" s="176"/>
      <c r="AX26" s="82"/>
      <c r="AY26" s="88"/>
      <c r="AZ26" s="176"/>
      <c r="BA26" s="117"/>
      <c r="BB26" s="82"/>
      <c r="BD26" s="348"/>
      <c r="BE26" s="353"/>
      <c r="CB26" s="10" t="s">
        <v>152</v>
      </c>
      <c r="CE26" s="10" t="s">
        <v>152</v>
      </c>
      <c r="CG26" s="10" t="s">
        <v>152</v>
      </c>
      <c r="CH26" s="10" t="s">
        <v>152</v>
      </c>
    </row>
    <row r="27" spans="2:87" s="10" customFormat="1" ht="14.25" customHeight="1">
      <c r="B27" s="250">
        <f t="shared" si="23"/>
        <v>43743</v>
      </c>
      <c r="C27" s="191">
        <v>0.66666666666666663</v>
      </c>
      <c r="D27" s="178" t="str">
        <f t="shared" si="15"/>
        <v/>
      </c>
      <c r="E27" s="35"/>
      <c r="F27" s="13"/>
      <c r="G27" s="13"/>
      <c r="H27" s="13"/>
      <c r="I27" s="69"/>
      <c r="J27" s="13"/>
      <c r="K27" s="13"/>
      <c r="L27" s="13"/>
      <c r="M27" s="13"/>
      <c r="N27" s="13"/>
      <c r="O27" s="13"/>
      <c r="P27" s="13"/>
      <c r="Q27" s="13"/>
      <c r="R27" s="14"/>
      <c r="S27" s="35"/>
      <c r="T27" s="206" t="str">
        <f t="shared" si="16"/>
        <v/>
      </c>
      <c r="U27" s="177" t="str">
        <f t="shared" si="17"/>
        <v/>
      </c>
      <c r="V27" s="116" t="str">
        <f t="shared" si="18"/>
        <v/>
      </c>
      <c r="W27" s="116" t="str">
        <f t="shared" si="19"/>
        <v/>
      </c>
      <c r="X27" s="59" t="str">
        <f t="shared" si="20"/>
        <v/>
      </c>
      <c r="Y27" s="59" t="str">
        <f t="shared" si="21"/>
        <v/>
      </c>
      <c r="Z27" s="305">
        <v>70</v>
      </c>
      <c r="AA27" s="133" t="str">
        <f t="shared" si="22"/>
        <v/>
      </c>
      <c r="AB27" s="289"/>
      <c r="AC27" s="109"/>
      <c r="AD27" s="69"/>
      <c r="AE27" s="321"/>
      <c r="AF27" s="321"/>
      <c r="AG27" s="69"/>
      <c r="AH27" s="69"/>
      <c r="AI27" s="69"/>
      <c r="AJ27" s="69"/>
      <c r="AK27" s="81"/>
      <c r="AL27" s="86"/>
      <c r="AM27" s="87"/>
      <c r="AN27" s="80"/>
      <c r="AO27" s="140"/>
      <c r="AP27" s="86"/>
      <c r="AQ27" s="196"/>
      <c r="AR27" s="140"/>
      <c r="AS27" s="86"/>
      <c r="AT27" s="196"/>
      <c r="AU27" s="140"/>
      <c r="AV27" s="86"/>
      <c r="AW27" s="196"/>
      <c r="AX27" s="140"/>
      <c r="AY27" s="86"/>
      <c r="AZ27" s="196"/>
      <c r="BA27" s="117"/>
      <c r="BB27" s="140"/>
      <c r="BD27" s="344"/>
      <c r="BE27" s="349"/>
      <c r="CB27" s="10" t="s">
        <v>152</v>
      </c>
      <c r="CE27" s="10" t="s">
        <v>152</v>
      </c>
      <c r="CG27" s="10" t="s">
        <v>152</v>
      </c>
      <c r="CH27" s="10" t="s">
        <v>152</v>
      </c>
    </row>
    <row r="28" spans="2:87" s="10" customFormat="1" ht="13.5" customHeight="1">
      <c r="B28" s="250">
        <f t="shared" si="23"/>
        <v>43743</v>
      </c>
      <c r="C28" s="191">
        <v>0.70833333333333504</v>
      </c>
      <c r="D28" s="179" t="str">
        <f t="shared" si="15"/>
        <v/>
      </c>
      <c r="E28" s="36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21"/>
      <c r="S28" s="36"/>
      <c r="T28" s="181" t="str">
        <f t="shared" si="16"/>
        <v/>
      </c>
      <c r="U28" s="65" t="str">
        <f t="shared" si="17"/>
        <v/>
      </c>
      <c r="V28" s="68" t="str">
        <f t="shared" si="18"/>
        <v/>
      </c>
      <c r="W28" s="68" t="str">
        <f t="shared" si="19"/>
        <v/>
      </c>
      <c r="X28" s="60" t="str">
        <f t="shared" si="20"/>
        <v/>
      </c>
      <c r="Y28" s="60" t="str">
        <f t="shared" si="21"/>
        <v/>
      </c>
      <c r="Z28" s="304">
        <v>70</v>
      </c>
      <c r="AA28" s="135" t="str">
        <f t="shared" si="22"/>
        <v/>
      </c>
      <c r="AB28" s="288"/>
      <c r="AC28" s="36"/>
      <c r="AD28" s="19"/>
      <c r="AE28" s="159"/>
      <c r="AF28" s="159"/>
      <c r="AG28" s="19"/>
      <c r="AH28" s="19"/>
      <c r="AI28" s="19"/>
      <c r="AJ28" s="19"/>
      <c r="AK28" s="21"/>
      <c r="AL28" s="87"/>
      <c r="AM28" s="165"/>
      <c r="AN28" s="80"/>
      <c r="AO28" s="199"/>
      <c r="AP28" s="87"/>
      <c r="AQ28" s="80"/>
      <c r="AR28" s="87"/>
      <c r="AS28" s="87"/>
      <c r="AT28" s="80"/>
      <c r="AU28" s="87"/>
      <c r="AV28" s="87"/>
      <c r="AW28" s="80"/>
      <c r="AX28" s="87"/>
      <c r="AY28" s="87"/>
      <c r="AZ28" s="80"/>
      <c r="BA28" s="117"/>
      <c r="BB28" s="82"/>
      <c r="BD28" s="345"/>
      <c r="BE28" s="350"/>
      <c r="CB28" s="10" t="s">
        <v>152</v>
      </c>
      <c r="CE28" s="10" t="s">
        <v>152</v>
      </c>
      <c r="CG28" s="10" t="s">
        <v>152</v>
      </c>
      <c r="CH28" s="10" t="s">
        <v>152</v>
      </c>
    </row>
    <row r="29" spans="2:87" s="10" customFormat="1" ht="14.25" customHeight="1">
      <c r="B29" s="250">
        <f t="shared" si="23"/>
        <v>43743</v>
      </c>
      <c r="C29" s="4">
        <v>0.750000000000002</v>
      </c>
      <c r="D29" s="179" t="str">
        <f t="shared" si="15"/>
        <v/>
      </c>
      <c r="E29" s="36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21"/>
      <c r="S29" s="36"/>
      <c r="T29" s="181" t="str">
        <f t="shared" si="16"/>
        <v/>
      </c>
      <c r="U29" s="65" t="str">
        <f t="shared" si="17"/>
        <v/>
      </c>
      <c r="V29" s="68" t="str">
        <f t="shared" si="18"/>
        <v/>
      </c>
      <c r="W29" s="68" t="str">
        <f t="shared" si="19"/>
        <v/>
      </c>
      <c r="X29" s="60" t="str">
        <f t="shared" si="20"/>
        <v/>
      </c>
      <c r="Y29" s="60" t="str">
        <f t="shared" si="21"/>
        <v/>
      </c>
      <c r="Z29" s="304">
        <v>70</v>
      </c>
      <c r="AA29" s="135" t="str">
        <f t="shared" si="22"/>
        <v/>
      </c>
      <c r="AB29" s="288"/>
      <c r="AC29" s="36"/>
      <c r="AD29" s="19"/>
      <c r="AE29" s="159"/>
      <c r="AF29" s="159"/>
      <c r="AG29" s="19"/>
      <c r="AH29" s="19"/>
      <c r="AI29" s="19"/>
      <c r="AJ29" s="19"/>
      <c r="AK29" s="21"/>
      <c r="AL29" s="111"/>
      <c r="AM29" s="87"/>
      <c r="AN29" s="80"/>
      <c r="AO29" s="199"/>
      <c r="AP29" s="87"/>
      <c r="AQ29" s="80"/>
      <c r="AR29" s="48"/>
      <c r="AS29" s="87"/>
      <c r="AT29" s="80"/>
      <c r="AU29" s="48"/>
      <c r="AV29" s="87"/>
      <c r="AW29" s="80"/>
      <c r="AX29" s="48"/>
      <c r="AY29" s="87"/>
      <c r="AZ29" s="80"/>
      <c r="BB29" s="82"/>
      <c r="BD29" s="345"/>
      <c r="BE29" s="350"/>
      <c r="CB29" s="10" t="s">
        <v>152</v>
      </c>
      <c r="CE29" s="10" t="s">
        <v>152</v>
      </c>
      <c r="CG29" s="10" t="s">
        <v>152</v>
      </c>
      <c r="CH29" s="10" t="s">
        <v>152</v>
      </c>
    </row>
    <row r="30" spans="2:87" s="10" customFormat="1" ht="12.75" customHeight="1">
      <c r="B30" s="250">
        <f t="shared" si="23"/>
        <v>43743</v>
      </c>
      <c r="C30" s="4">
        <v>0.79166666666666896</v>
      </c>
      <c r="D30" s="179" t="str">
        <f t="shared" si="15"/>
        <v/>
      </c>
      <c r="E30" s="36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21"/>
      <c r="S30" s="36"/>
      <c r="T30" s="181" t="str">
        <f t="shared" si="16"/>
        <v/>
      </c>
      <c r="U30" s="65" t="str">
        <f t="shared" si="17"/>
        <v/>
      </c>
      <c r="V30" s="68" t="str">
        <f t="shared" si="18"/>
        <v/>
      </c>
      <c r="W30" s="68" t="str">
        <f t="shared" si="19"/>
        <v/>
      </c>
      <c r="X30" s="60" t="str">
        <f t="shared" si="20"/>
        <v/>
      </c>
      <c r="Y30" s="60" t="str">
        <f t="shared" si="21"/>
        <v/>
      </c>
      <c r="Z30" s="304">
        <v>70</v>
      </c>
      <c r="AA30" s="135" t="str">
        <f t="shared" si="22"/>
        <v/>
      </c>
      <c r="AB30" s="288"/>
      <c r="AC30" s="36"/>
      <c r="AD30" s="19"/>
      <c r="AE30" s="159"/>
      <c r="AF30" s="159"/>
      <c r="AG30" s="19"/>
      <c r="AH30" s="19"/>
      <c r="AI30" s="19"/>
      <c r="AJ30" s="19"/>
      <c r="AK30" s="21"/>
      <c r="AL30" s="111"/>
      <c r="AM30" s="87"/>
      <c r="AN30" s="80"/>
      <c r="AO30" s="199"/>
      <c r="AP30" s="87"/>
      <c r="AQ30" s="80"/>
      <c r="AR30" s="48"/>
      <c r="AS30" s="87"/>
      <c r="AT30" s="80"/>
      <c r="AU30" s="48"/>
      <c r="AV30" s="87"/>
      <c r="AW30" s="80"/>
      <c r="AX30" s="48"/>
      <c r="AY30" s="87"/>
      <c r="AZ30" s="80"/>
      <c r="BB30" s="82"/>
      <c r="BD30" s="345"/>
      <c r="BE30" s="350"/>
      <c r="CB30" s="10" t="s">
        <v>152</v>
      </c>
      <c r="CE30" s="10" t="s">
        <v>152</v>
      </c>
      <c r="CG30" s="10" t="s">
        <v>152</v>
      </c>
      <c r="CH30" s="10" t="s">
        <v>152</v>
      </c>
    </row>
    <row r="31" spans="2:87" s="10" customFormat="1" ht="13.5" customHeight="1">
      <c r="B31" s="250">
        <f t="shared" si="23"/>
        <v>43743</v>
      </c>
      <c r="C31" s="4">
        <v>0.83333333333333337</v>
      </c>
      <c r="D31" s="179" t="str">
        <f t="shared" si="15"/>
        <v/>
      </c>
      <c r="E31" s="36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21"/>
      <c r="S31" s="36"/>
      <c r="T31" s="181" t="str">
        <f t="shared" si="16"/>
        <v/>
      </c>
      <c r="U31" s="65" t="str">
        <f t="shared" si="17"/>
        <v/>
      </c>
      <c r="V31" s="68" t="str">
        <f t="shared" si="18"/>
        <v/>
      </c>
      <c r="W31" s="68" t="str">
        <f t="shared" si="19"/>
        <v/>
      </c>
      <c r="X31" s="60" t="str">
        <f t="shared" si="20"/>
        <v/>
      </c>
      <c r="Y31" s="60" t="str">
        <f t="shared" si="21"/>
        <v/>
      </c>
      <c r="Z31" s="304">
        <v>70</v>
      </c>
      <c r="AA31" s="135" t="str">
        <f t="shared" si="22"/>
        <v/>
      </c>
      <c r="AB31" s="288"/>
      <c r="AC31" s="36"/>
      <c r="AD31" s="19"/>
      <c r="AE31" s="159"/>
      <c r="AF31" s="159"/>
      <c r="AG31" s="19"/>
      <c r="AH31" s="19"/>
      <c r="AI31" s="19"/>
      <c r="AJ31" s="19"/>
      <c r="AK31" s="21"/>
      <c r="AL31" s="111"/>
      <c r="AM31" s="165"/>
      <c r="AN31" s="80"/>
      <c r="AO31" s="199"/>
      <c r="AP31" s="267"/>
      <c r="AQ31" s="87"/>
      <c r="AR31" s="48"/>
      <c r="AS31" s="87"/>
      <c r="AT31" s="80"/>
      <c r="AU31" s="48"/>
      <c r="AV31" s="87"/>
      <c r="AW31" s="80"/>
      <c r="AX31" s="48"/>
      <c r="AY31" s="87"/>
      <c r="AZ31" s="80"/>
      <c r="BB31" s="82"/>
      <c r="BD31" s="345"/>
      <c r="BE31" s="350"/>
      <c r="CB31" s="10" t="s">
        <v>152</v>
      </c>
      <c r="CE31" s="10" t="s">
        <v>152</v>
      </c>
      <c r="CG31" s="10" t="s">
        <v>152</v>
      </c>
      <c r="CH31" s="10" t="s">
        <v>152</v>
      </c>
    </row>
    <row r="32" spans="2:87" s="10" customFormat="1" ht="12.75" customHeight="1">
      <c r="B32" s="250">
        <f t="shared" si="23"/>
        <v>43743</v>
      </c>
      <c r="C32" s="4">
        <v>0.875000000000003</v>
      </c>
      <c r="D32" s="179" t="str">
        <f t="shared" si="15"/>
        <v/>
      </c>
      <c r="E32" s="36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21"/>
      <c r="S32" s="36"/>
      <c r="T32" s="181" t="str">
        <f t="shared" si="16"/>
        <v/>
      </c>
      <c r="U32" s="65" t="str">
        <f t="shared" si="17"/>
        <v/>
      </c>
      <c r="V32" s="68" t="str">
        <f t="shared" si="18"/>
        <v/>
      </c>
      <c r="W32" s="68" t="str">
        <f t="shared" si="19"/>
        <v/>
      </c>
      <c r="X32" s="60" t="str">
        <f t="shared" si="20"/>
        <v/>
      </c>
      <c r="Y32" s="60" t="str">
        <f t="shared" si="21"/>
        <v/>
      </c>
      <c r="Z32" s="304">
        <v>70</v>
      </c>
      <c r="AA32" s="135" t="str">
        <f t="shared" si="22"/>
        <v/>
      </c>
      <c r="AB32" s="288"/>
      <c r="AC32" s="109"/>
      <c r="AD32" s="69"/>
      <c r="AE32" s="321"/>
      <c r="AF32" s="321"/>
      <c r="AG32" s="69"/>
      <c r="AH32" s="69"/>
      <c r="AI32" s="69"/>
      <c r="AJ32" s="69"/>
      <c r="AK32" s="21"/>
      <c r="AL32" s="111"/>
      <c r="AM32" s="87"/>
      <c r="AN32" s="80"/>
      <c r="AO32" s="199"/>
      <c r="AP32" s="267"/>
      <c r="AQ32" s="87"/>
      <c r="AR32" s="48"/>
      <c r="AS32" s="87"/>
      <c r="AT32" s="80"/>
      <c r="AU32" s="48"/>
      <c r="AV32" s="87"/>
      <c r="AW32" s="80"/>
      <c r="AX32" s="48"/>
      <c r="AY32" s="87"/>
      <c r="AZ32" s="80"/>
      <c r="BB32" s="82"/>
      <c r="BD32" s="345"/>
      <c r="BE32" s="350"/>
      <c r="CB32" s="10" t="s">
        <v>152</v>
      </c>
      <c r="CE32" s="10" t="s">
        <v>152</v>
      </c>
      <c r="CG32" s="10" t="s">
        <v>152</v>
      </c>
      <c r="CH32" s="10" t="s">
        <v>152</v>
      </c>
    </row>
    <row r="33" spans="2:87" s="10" customFormat="1" ht="13.5" customHeight="1">
      <c r="B33" s="250">
        <f t="shared" si="23"/>
        <v>43743</v>
      </c>
      <c r="C33" s="4">
        <v>0.91666666666666663</v>
      </c>
      <c r="D33" s="179" t="str">
        <f t="shared" si="15"/>
        <v/>
      </c>
      <c r="E33" s="36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21"/>
      <c r="S33" s="36"/>
      <c r="T33" s="181" t="str">
        <f t="shared" si="16"/>
        <v/>
      </c>
      <c r="U33" s="65" t="str">
        <f t="shared" si="17"/>
        <v/>
      </c>
      <c r="V33" s="68" t="str">
        <f t="shared" si="18"/>
        <v/>
      </c>
      <c r="W33" s="68" t="str">
        <f t="shared" si="19"/>
        <v/>
      </c>
      <c r="X33" s="60" t="str">
        <f t="shared" si="20"/>
        <v/>
      </c>
      <c r="Y33" s="60" t="str">
        <f t="shared" si="21"/>
        <v/>
      </c>
      <c r="Z33" s="384">
        <v>70</v>
      </c>
      <c r="AA33" s="135" t="str">
        <f t="shared" si="22"/>
        <v/>
      </c>
      <c r="AB33" s="288"/>
      <c r="AC33" s="36"/>
      <c r="AD33" s="19"/>
      <c r="AE33" s="159"/>
      <c r="AF33" s="159"/>
      <c r="AG33" s="19"/>
      <c r="AH33" s="19"/>
      <c r="AI33" s="19"/>
      <c r="AJ33" s="19"/>
      <c r="AK33" s="21"/>
      <c r="AL33" s="111"/>
      <c r="AM33" s="87"/>
      <c r="AN33" s="80"/>
      <c r="AO33" s="199"/>
      <c r="AP33" s="269"/>
      <c r="AQ33" s="87"/>
      <c r="AR33" s="48"/>
      <c r="AS33" s="87"/>
      <c r="AT33" s="80"/>
      <c r="AU33" s="48"/>
      <c r="AV33" s="87"/>
      <c r="AW33" s="80"/>
      <c r="AX33" s="48"/>
      <c r="AY33" s="87"/>
      <c r="AZ33" s="80"/>
      <c r="BB33" s="82"/>
      <c r="BD33" s="345"/>
      <c r="BE33" s="350"/>
      <c r="CB33" s="10" t="s">
        <v>152</v>
      </c>
      <c r="CE33" s="10" t="s">
        <v>152</v>
      </c>
      <c r="CG33" s="10" t="s">
        <v>152</v>
      </c>
      <c r="CH33" s="10" t="s">
        <v>152</v>
      </c>
      <c r="CI33" s="9"/>
    </row>
    <row r="34" spans="2:87" s="10" customFormat="1" ht="13.5" customHeight="1" thickBot="1">
      <c r="B34" s="252">
        <f t="shared" si="23"/>
        <v>43743</v>
      </c>
      <c r="C34" s="253">
        <v>0.95833333333333703</v>
      </c>
      <c r="D34" s="239" t="str">
        <f t="shared" si="15"/>
        <v/>
      </c>
      <c r="E34" s="37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5"/>
      <c r="S34" s="37"/>
      <c r="T34" s="240" t="str">
        <f t="shared" si="16"/>
        <v/>
      </c>
      <c r="U34" s="66" t="str">
        <f t="shared" si="17"/>
        <v/>
      </c>
      <c r="V34" s="241" t="str">
        <f t="shared" si="18"/>
        <v/>
      </c>
      <c r="W34" s="241" t="str">
        <f t="shared" si="19"/>
        <v/>
      </c>
      <c r="X34" s="62" t="str">
        <f t="shared" si="20"/>
        <v/>
      </c>
      <c r="Y34" s="62" t="str">
        <f t="shared" si="21"/>
        <v/>
      </c>
      <c r="Z34" s="359">
        <v>70</v>
      </c>
      <c r="AA34" s="167" t="str">
        <f t="shared" si="22"/>
        <v/>
      </c>
      <c r="AB34" s="312"/>
      <c r="AC34" s="37"/>
      <c r="AD34" s="24"/>
      <c r="AE34" s="313"/>
      <c r="AF34" s="313"/>
      <c r="AG34" s="24"/>
      <c r="AH34" s="24"/>
      <c r="AI34" s="24"/>
      <c r="AJ34" s="24"/>
      <c r="AK34" s="25"/>
      <c r="AL34" s="88"/>
      <c r="AM34" s="88"/>
      <c r="AN34" s="280"/>
      <c r="AO34" s="88"/>
      <c r="AP34" s="268"/>
      <c r="AQ34" s="88"/>
      <c r="AR34" s="88"/>
      <c r="AS34" s="88"/>
      <c r="AT34" s="88"/>
      <c r="AU34" s="88"/>
      <c r="AV34" s="88"/>
      <c r="AW34" s="88"/>
      <c r="AX34" s="88"/>
      <c r="AY34" s="88"/>
      <c r="AZ34" s="88"/>
      <c r="BB34" s="49"/>
      <c r="BD34" s="346"/>
      <c r="BE34" s="351"/>
      <c r="CI34" s="9"/>
    </row>
    <row r="35" spans="2:87">
      <c r="D35" s="32"/>
      <c r="I35" s="32"/>
      <c r="J35" s="32"/>
      <c r="K35" s="32"/>
      <c r="L35" s="32"/>
      <c r="M35" s="32"/>
      <c r="N35" s="32"/>
      <c r="O35" s="32"/>
      <c r="P35" s="32"/>
      <c r="Q35"/>
      <c r="R35" s="32"/>
      <c r="S35" s="32"/>
      <c r="T35" s="32"/>
      <c r="U35" s="32"/>
      <c r="X35" s="357"/>
      <c r="Y35" s="357"/>
      <c r="Z35" s="357"/>
      <c r="BD35" s="32"/>
    </row>
    <row r="36" spans="2:87">
      <c r="D36" s="32" t="s">
        <v>36</v>
      </c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X36" s="357"/>
      <c r="Y36" s="357"/>
      <c r="Z36" s="357"/>
      <c r="BD36" s="32"/>
    </row>
    <row r="37" spans="2:87">
      <c r="D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1" t="s">
        <v>36</v>
      </c>
      <c r="X37" s="357"/>
      <c r="Y37" s="357"/>
      <c r="Z37" s="357"/>
      <c r="BD37" s="32"/>
    </row>
    <row r="38" spans="2:87" ht="13.5" customHeight="1">
      <c r="D38" s="32"/>
      <c r="I38" s="32"/>
      <c r="J38" s="32"/>
      <c r="K38" s="163"/>
      <c r="L38" s="32"/>
      <c r="M38" s="163"/>
      <c r="N38" s="30"/>
      <c r="O38" s="30"/>
      <c r="P38" s="30"/>
      <c r="Q38" s="30"/>
      <c r="R38" s="30"/>
      <c r="S38" s="30"/>
      <c r="T38" s="32"/>
      <c r="U38" s="32"/>
      <c r="Y38" s="31" t="s">
        <v>108</v>
      </c>
      <c r="BD38" s="32"/>
    </row>
    <row r="39" spans="2:87">
      <c r="D39" s="32"/>
      <c r="I39" s="32"/>
      <c r="J39" s="32"/>
      <c r="K39" s="32"/>
      <c r="L39" s="32"/>
      <c r="M39" s="32"/>
      <c r="N39" s="32"/>
      <c r="O39" s="32"/>
      <c r="P39" s="32"/>
      <c r="Q39" s="32"/>
      <c r="T39" s="32"/>
    </row>
    <row r="40" spans="2:87">
      <c r="D40" s="32"/>
      <c r="F40" s="32" t="s">
        <v>109</v>
      </c>
      <c r="I40" s="32"/>
      <c r="J40" s="32"/>
      <c r="K40" s="32"/>
      <c r="L40" s="32"/>
      <c r="M40" s="32"/>
      <c r="N40" s="32"/>
      <c r="O40" s="32"/>
      <c r="P40" s="32"/>
      <c r="Q40" s="32"/>
      <c r="T40" s="32"/>
      <c r="U40" s="32"/>
      <c r="BD40" s="32"/>
    </row>
    <row r="41" spans="2:87">
      <c r="D41" s="32"/>
      <c r="I41" s="32"/>
      <c r="J41" s="32"/>
      <c r="K41" s="357"/>
      <c r="L41" s="30"/>
      <c r="M41" s="30"/>
      <c r="N41" s="30"/>
      <c r="O41" s="30"/>
      <c r="P41" s="30"/>
      <c r="Q41" s="32"/>
      <c r="T41" s="32"/>
    </row>
    <row r="42" spans="2:87">
      <c r="D42" s="32"/>
      <c r="I42" s="32"/>
      <c r="J42" s="32"/>
      <c r="L42" s="30"/>
      <c r="Q42" s="32"/>
      <c r="T42" s="32"/>
    </row>
    <row r="43" spans="2:87">
      <c r="D43" s="32"/>
      <c r="I43" s="32"/>
      <c r="J43" s="32"/>
      <c r="K43" s="32"/>
      <c r="L43" s="32"/>
      <c r="M43" s="32"/>
      <c r="N43" s="32"/>
      <c r="O43" s="32"/>
      <c r="P43" s="32"/>
      <c r="Q43" s="32"/>
      <c r="T43" s="32"/>
    </row>
    <row r="44" spans="2:87">
      <c r="D44" s="32"/>
      <c r="I44" s="32"/>
      <c r="O44" s="32"/>
      <c r="T44" s="32"/>
    </row>
    <row r="45" spans="2:87">
      <c r="D45" s="32"/>
      <c r="T45" s="32"/>
    </row>
    <row r="46" spans="2:87">
      <c r="D46" s="32"/>
      <c r="T46" s="32"/>
    </row>
    <row r="47" spans="2:87">
      <c r="D47" s="32"/>
      <c r="T47" s="32"/>
    </row>
    <row r="48" spans="2:87">
      <c r="D48" s="32"/>
      <c r="T48" s="32"/>
    </row>
    <row r="49" spans="4:20">
      <c r="D49" s="32"/>
      <c r="T49" s="32"/>
    </row>
    <row r="50" spans="4:20">
      <c r="D50" s="32"/>
      <c r="I50" s="32"/>
      <c r="T50" s="32"/>
    </row>
    <row r="51" spans="4:20">
      <c r="D51" s="32"/>
      <c r="T51" s="32"/>
    </row>
    <row r="52" spans="4:20">
      <c r="D52" s="32"/>
      <c r="T52" s="32"/>
    </row>
    <row r="53" spans="4:20">
      <c r="D53" s="32"/>
      <c r="T53" s="32"/>
    </row>
    <row r="54" spans="4:20">
      <c r="D54" s="32"/>
      <c r="T54" s="32"/>
    </row>
    <row r="55" spans="4:20">
      <c r="D55" s="32"/>
      <c r="T55" s="32"/>
    </row>
    <row r="279" spans="3:22">
      <c r="C279" s="2">
        <v>3.66</v>
      </c>
      <c r="E279" s="32">
        <v>5.91</v>
      </c>
      <c r="G279" s="32">
        <v>3.05</v>
      </c>
      <c r="L279" s="31">
        <v>5.71</v>
      </c>
      <c r="T279" s="30">
        <v>2.0099999999999998</v>
      </c>
      <c r="V279" s="31">
        <v>0.94</v>
      </c>
    </row>
    <row r="379" spans="9:9">
      <c r="I379" s="30" t="s">
        <v>36</v>
      </c>
    </row>
  </sheetData>
  <mergeCells count="6">
    <mergeCell ref="AX9:AZ9"/>
    <mergeCell ref="AO9:AQ9"/>
    <mergeCell ref="AR9:AT9"/>
    <mergeCell ref="AL9:AN9"/>
    <mergeCell ref="D9:S9"/>
    <mergeCell ref="AU9:AW9"/>
  </mergeCells>
  <phoneticPr fontId="0" type="noConversion"/>
  <conditionalFormatting sqref="I13 J28:M29 I17 I15 J31:M33 J34:K34 I19 I21">
    <cfRule type="cellIs" dxfId="20" priority="143" stopIfTrue="1" operator="greaterThan">
      <formula>1.2</formula>
    </cfRule>
    <cfRule type="cellIs" dxfId="19" priority="145" stopIfTrue="1" operator="greaterThan">
      <formula>1.05</formula>
    </cfRule>
  </conditionalFormatting>
  <conditionalFormatting sqref="J16 J12:J14 J26:J27 J18 J21">
    <cfRule type="cellIs" dxfId="18" priority="144" stopIfTrue="1" operator="greaterThan">
      <formula>0.35</formula>
    </cfRule>
  </conditionalFormatting>
  <conditionalFormatting sqref="J25">
    <cfRule type="cellIs" dxfId="17" priority="15" stopIfTrue="1" operator="greaterThan">
      <formula>0.35</formula>
    </cfRule>
  </conditionalFormatting>
  <conditionalFormatting sqref="J22">
    <cfRule type="cellIs" dxfId="16" priority="12" stopIfTrue="1" operator="greaterThan">
      <formula>0.35</formula>
    </cfRule>
  </conditionalFormatting>
  <conditionalFormatting sqref="J30:M30">
    <cfRule type="cellIs" dxfId="15" priority="9" stopIfTrue="1" operator="greaterThan">
      <formula>1.2</formula>
    </cfRule>
    <cfRule type="cellIs" dxfId="14" priority="10" stopIfTrue="1" operator="greaterThan">
      <formula>1.05</formula>
    </cfRule>
  </conditionalFormatting>
  <conditionalFormatting sqref="L34:M34">
    <cfRule type="cellIs" dxfId="13" priority="5" stopIfTrue="1" operator="greaterThan">
      <formula>1.2</formula>
    </cfRule>
    <cfRule type="cellIs" dxfId="12" priority="6" stopIfTrue="1" operator="greaterThan">
      <formula>1.05</formula>
    </cfRule>
  </conditionalFormatting>
  <conditionalFormatting sqref="J24">
    <cfRule type="cellIs" dxfId="11" priority="4" stopIfTrue="1" operator="greaterThan">
      <formula>0.35</formula>
    </cfRule>
  </conditionalFormatting>
  <printOptions gridLines="1" gridLinesSet="0"/>
  <pageMargins left="0.19685039370078741" right="0.19685039370078741" top="0.98425196850393704" bottom="0.98425196850393704" header="0.51181102362204722" footer="0.51181102362204722"/>
  <pageSetup paperSize="9" orientation="landscape" horizontalDpi="4294967292" verticalDpi="180" r:id="rId1"/>
  <headerFooter alignWithMargins="0">
    <oddHeader>&amp;A</oddHeader>
    <oddFooter>Page &amp;P</oddFooter>
  </headerFooter>
  <colBreaks count="1" manualBreakCount="1">
    <brk id="3" min="3" max="36" man="1"/>
  </colBreaks>
  <cellWatches>
    <cellWatch r="B11"/>
  </cellWatch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3"/>
  </sheetPr>
  <dimension ref="A3:CH379"/>
  <sheetViews>
    <sheetView zoomScaleNormal="100" workbookViewId="0">
      <pane xSplit="2" ySplit="10" topLeftCell="C27" activePane="bottomRight" state="frozen"/>
      <selection activeCell="V279" sqref="V279"/>
      <selection pane="topRight" activeCell="V279" sqref="V279"/>
      <selection pane="bottomLeft" activeCell="V279" sqref="V279"/>
      <selection pane="bottomRight" activeCell="AT32" sqref="AT32"/>
    </sheetView>
  </sheetViews>
  <sheetFormatPr defaultColWidth="9.140625" defaultRowHeight="12.75"/>
  <cols>
    <col min="1" max="1" width="12.85546875" style="9" customWidth="1"/>
    <col min="2" max="2" width="15" style="2" customWidth="1"/>
    <col min="3" max="3" width="8.7109375" style="30" customWidth="1"/>
    <col min="4" max="4" width="8.5703125" style="32" customWidth="1"/>
    <col min="5" max="7" width="7.85546875" style="32" customWidth="1"/>
    <col min="8" max="9" width="7.85546875" style="30" customWidth="1"/>
    <col min="10" max="10" width="7.85546875" style="31" customWidth="1"/>
    <col min="11" max="18" width="7.42578125" style="31" customWidth="1"/>
    <col min="19" max="19" width="7.85546875" style="31" customWidth="1"/>
    <col min="20" max="20" width="9.5703125" style="30" customWidth="1"/>
    <col min="21" max="21" width="7.42578125" style="31" customWidth="1"/>
    <col min="22" max="23" width="7.28515625" style="31" customWidth="1"/>
    <col min="24" max="24" width="7.140625" style="31" customWidth="1"/>
    <col min="25" max="25" width="10.5703125" style="31" customWidth="1"/>
    <col min="26" max="26" width="9.42578125" style="31" bestFit="1" customWidth="1"/>
    <col min="27" max="27" width="10.42578125" style="31" customWidth="1"/>
    <col min="28" max="28" width="12.85546875" style="31" customWidth="1"/>
    <col min="29" max="30" width="10.85546875" style="31" customWidth="1"/>
    <col min="31" max="32" width="9.28515625" style="31" customWidth="1"/>
    <col min="33" max="33" width="9" style="31" customWidth="1"/>
    <col min="34" max="34" width="10.85546875" style="31" customWidth="1"/>
    <col min="35" max="35" width="11.28515625" style="31" customWidth="1"/>
    <col min="36" max="36" width="11.85546875" style="31" customWidth="1"/>
    <col min="37" max="37" width="13.28515625" customWidth="1"/>
    <col min="38" max="38" width="10.7109375" style="31" customWidth="1"/>
    <col min="39" max="40" width="9" style="31" customWidth="1"/>
    <col min="41" max="41" width="10.7109375" style="31" customWidth="1"/>
    <col min="42" max="42" width="11.42578125" style="31" customWidth="1"/>
    <col min="43" max="43" width="9" style="31" customWidth="1"/>
    <col min="44" max="44" width="10.7109375" style="31" customWidth="1"/>
    <col min="45" max="46" width="9" style="31" customWidth="1"/>
    <col min="47" max="47" width="10.7109375" style="31" customWidth="1"/>
    <col min="48" max="49" width="9" style="31" customWidth="1"/>
    <col min="50" max="50" width="10.7109375" style="31" customWidth="1"/>
    <col min="51" max="52" width="9" style="31" customWidth="1"/>
    <col min="53" max="53" width="8.7109375" style="9" customWidth="1"/>
    <col min="54" max="54" width="57" style="9" customWidth="1"/>
    <col min="55" max="55" width="9.140625" style="9"/>
    <col min="56" max="56" width="11.5703125" style="31" customWidth="1"/>
    <col min="57" max="16384" width="9.140625" style="9"/>
  </cols>
  <sheetData>
    <row r="3" spans="1:86">
      <c r="B3" s="408" t="s">
        <v>117</v>
      </c>
      <c r="C3" s="409">
        <f>COUNTIF(C11:C34,"&gt;0")</f>
        <v>0</v>
      </c>
      <c r="D3" s="409">
        <f>COUNTIF(D11:D34,"&gt;0")</f>
        <v>0</v>
      </c>
      <c r="E3" s="409">
        <f t="shared" ref="E3:M3" si="0">COUNTIF(E11:E34,"&gt;0")</f>
        <v>0</v>
      </c>
      <c r="F3" s="409">
        <f t="shared" si="0"/>
        <v>0</v>
      </c>
      <c r="G3" s="409">
        <f t="shared" si="0"/>
        <v>0</v>
      </c>
      <c r="H3" s="409">
        <f t="shared" si="0"/>
        <v>0</v>
      </c>
      <c r="I3" s="409">
        <f t="shared" si="0"/>
        <v>0</v>
      </c>
      <c r="J3" s="409">
        <f t="shared" si="0"/>
        <v>0</v>
      </c>
      <c r="K3" s="409">
        <f t="shared" si="0"/>
        <v>0</v>
      </c>
      <c r="L3" s="409">
        <f t="shared" si="0"/>
        <v>0</v>
      </c>
      <c r="M3" s="409">
        <f t="shared" si="0"/>
        <v>0</v>
      </c>
      <c r="N3" s="409">
        <f t="shared" ref="N3:S3" si="1">COUNTIF(N11:N34,"&gt;0")</f>
        <v>0</v>
      </c>
      <c r="O3" s="409">
        <f t="shared" si="1"/>
        <v>0</v>
      </c>
      <c r="P3" s="409">
        <f t="shared" si="1"/>
        <v>0</v>
      </c>
      <c r="Q3" s="409">
        <f t="shared" si="1"/>
        <v>0</v>
      </c>
      <c r="R3" s="409">
        <f t="shared" si="1"/>
        <v>0</v>
      </c>
      <c r="S3" s="409">
        <f t="shared" si="1"/>
        <v>0</v>
      </c>
      <c r="T3" s="409">
        <f t="shared" ref="T3:AT3" si="2">COUNTIF(T11:T34,"&gt;0")</f>
        <v>0</v>
      </c>
      <c r="U3" s="409">
        <f t="shared" si="2"/>
        <v>0</v>
      </c>
      <c r="V3" s="409">
        <f t="shared" si="2"/>
        <v>0</v>
      </c>
      <c r="W3" s="409">
        <f t="shared" si="2"/>
        <v>0</v>
      </c>
      <c r="X3" s="409">
        <f t="shared" si="2"/>
        <v>0</v>
      </c>
      <c r="Y3" s="409">
        <f t="shared" si="2"/>
        <v>0</v>
      </c>
      <c r="Z3" s="409">
        <f t="shared" si="2"/>
        <v>1</v>
      </c>
      <c r="AA3" s="409">
        <f t="shared" si="2"/>
        <v>0</v>
      </c>
      <c r="AB3" s="409">
        <f t="shared" si="2"/>
        <v>0</v>
      </c>
      <c r="AC3" s="409">
        <f t="shared" si="2"/>
        <v>0</v>
      </c>
      <c r="AD3" s="409">
        <f t="shared" si="2"/>
        <v>0</v>
      </c>
      <c r="AE3" s="409">
        <f t="shared" si="2"/>
        <v>0</v>
      </c>
      <c r="AF3" s="409">
        <f t="shared" si="2"/>
        <v>0</v>
      </c>
      <c r="AG3" s="409">
        <f t="shared" si="2"/>
        <v>0</v>
      </c>
      <c r="AH3" s="409">
        <f t="shared" si="2"/>
        <v>0</v>
      </c>
      <c r="AI3" s="409">
        <f t="shared" si="2"/>
        <v>0</v>
      </c>
      <c r="AJ3" s="409">
        <f t="shared" si="2"/>
        <v>0</v>
      </c>
      <c r="AK3" s="409">
        <f t="shared" si="2"/>
        <v>0</v>
      </c>
      <c r="AL3" s="409">
        <f t="shared" si="2"/>
        <v>0</v>
      </c>
      <c r="AM3" s="409">
        <f t="shared" si="2"/>
        <v>0</v>
      </c>
      <c r="AN3" s="409">
        <f t="shared" si="2"/>
        <v>0</v>
      </c>
      <c r="AO3" s="409">
        <f t="shared" si="2"/>
        <v>0</v>
      </c>
      <c r="AP3" s="409">
        <f t="shared" si="2"/>
        <v>0</v>
      </c>
      <c r="AQ3" s="409">
        <f t="shared" si="2"/>
        <v>0</v>
      </c>
      <c r="AR3" s="409">
        <f t="shared" si="2"/>
        <v>0</v>
      </c>
      <c r="AS3" s="409">
        <f t="shared" si="2"/>
        <v>0</v>
      </c>
      <c r="AT3" s="409">
        <f t="shared" si="2"/>
        <v>0</v>
      </c>
      <c r="AU3" s="409">
        <f t="shared" ref="AU3:AZ3" si="3">COUNTIF(AU11:AU34,"&gt;0")</f>
        <v>0</v>
      </c>
      <c r="AV3" s="409">
        <f t="shared" si="3"/>
        <v>0</v>
      </c>
      <c r="AW3" s="409">
        <f t="shared" si="3"/>
        <v>0</v>
      </c>
      <c r="AX3" s="409">
        <f t="shared" si="3"/>
        <v>0</v>
      </c>
      <c r="AY3" s="409">
        <f t="shared" si="3"/>
        <v>0</v>
      </c>
      <c r="AZ3" s="409">
        <f t="shared" si="3"/>
        <v>0</v>
      </c>
    </row>
    <row r="4" spans="1:86" s="10" customFormat="1">
      <c r="A4" s="72"/>
      <c r="B4" s="411" t="s">
        <v>118</v>
      </c>
      <c r="C4" s="409" t="e">
        <f>STDEV(C11:C34)</f>
        <v>#DIV/0!</v>
      </c>
      <c r="D4" s="409" t="e">
        <f>STDEV(D11:D34)</f>
        <v>#DIV/0!</v>
      </c>
      <c r="E4" s="409" t="e">
        <f t="shared" ref="E4:M4" si="4">STDEV(E11:E34)</f>
        <v>#DIV/0!</v>
      </c>
      <c r="F4" s="409" t="e">
        <f t="shared" si="4"/>
        <v>#DIV/0!</v>
      </c>
      <c r="G4" s="409" t="e">
        <f t="shared" si="4"/>
        <v>#DIV/0!</v>
      </c>
      <c r="H4" s="409" t="e">
        <f t="shared" si="4"/>
        <v>#DIV/0!</v>
      </c>
      <c r="I4" s="409" t="e">
        <f t="shared" si="4"/>
        <v>#DIV/0!</v>
      </c>
      <c r="J4" s="409" t="e">
        <f t="shared" si="4"/>
        <v>#DIV/0!</v>
      </c>
      <c r="K4" s="409" t="e">
        <f t="shared" si="4"/>
        <v>#DIV/0!</v>
      </c>
      <c r="L4" s="409" t="e">
        <f t="shared" si="4"/>
        <v>#DIV/0!</v>
      </c>
      <c r="M4" s="409" t="e">
        <f t="shared" si="4"/>
        <v>#DIV/0!</v>
      </c>
      <c r="N4" s="409" t="e">
        <f t="shared" ref="N4:S4" si="5">STDEV(N11:N34)</f>
        <v>#DIV/0!</v>
      </c>
      <c r="O4" s="409" t="e">
        <f t="shared" si="5"/>
        <v>#DIV/0!</v>
      </c>
      <c r="P4" s="409" t="e">
        <f t="shared" si="5"/>
        <v>#DIV/0!</v>
      </c>
      <c r="Q4" s="409" t="e">
        <f t="shared" si="5"/>
        <v>#DIV/0!</v>
      </c>
      <c r="R4" s="409" t="e">
        <f t="shared" si="5"/>
        <v>#DIV/0!</v>
      </c>
      <c r="S4" s="409" t="e">
        <f t="shared" si="5"/>
        <v>#DIV/0!</v>
      </c>
      <c r="T4" s="409" t="e">
        <f t="shared" ref="T4:AT4" si="6">STDEV(T11:T34)</f>
        <v>#DIV/0!</v>
      </c>
      <c r="U4" s="409" t="e">
        <f t="shared" si="6"/>
        <v>#DIV/0!</v>
      </c>
      <c r="V4" s="409" t="e">
        <f t="shared" si="6"/>
        <v>#DIV/0!</v>
      </c>
      <c r="W4" s="409" t="e">
        <f t="shared" si="6"/>
        <v>#DIV/0!</v>
      </c>
      <c r="X4" s="409" t="e">
        <f t="shared" si="6"/>
        <v>#DIV/0!</v>
      </c>
      <c r="Y4" s="409" t="e">
        <f t="shared" si="6"/>
        <v>#DIV/0!</v>
      </c>
      <c r="Z4" s="409" t="e">
        <f t="shared" si="6"/>
        <v>#DIV/0!</v>
      </c>
      <c r="AA4" s="409" t="e">
        <f t="shared" si="6"/>
        <v>#DIV/0!</v>
      </c>
      <c r="AB4" s="409" t="e">
        <f t="shared" si="6"/>
        <v>#DIV/0!</v>
      </c>
      <c r="AC4" s="409" t="e">
        <f t="shared" si="6"/>
        <v>#DIV/0!</v>
      </c>
      <c r="AD4" s="409" t="e">
        <f t="shared" si="6"/>
        <v>#DIV/0!</v>
      </c>
      <c r="AE4" s="409" t="e">
        <f t="shared" si="6"/>
        <v>#DIV/0!</v>
      </c>
      <c r="AF4" s="409" t="e">
        <f t="shared" si="6"/>
        <v>#DIV/0!</v>
      </c>
      <c r="AG4" s="409" t="e">
        <f t="shared" si="6"/>
        <v>#DIV/0!</v>
      </c>
      <c r="AH4" s="409" t="e">
        <f t="shared" si="6"/>
        <v>#DIV/0!</v>
      </c>
      <c r="AI4" s="409" t="e">
        <f t="shared" si="6"/>
        <v>#DIV/0!</v>
      </c>
      <c r="AJ4" s="409" t="e">
        <f t="shared" si="6"/>
        <v>#DIV/0!</v>
      </c>
      <c r="AK4" s="409" t="e">
        <f t="shared" si="6"/>
        <v>#DIV/0!</v>
      </c>
      <c r="AL4" s="409" t="e">
        <f t="shared" si="6"/>
        <v>#DIV/0!</v>
      </c>
      <c r="AM4" s="409" t="e">
        <f t="shared" si="6"/>
        <v>#DIV/0!</v>
      </c>
      <c r="AN4" s="409" t="e">
        <f t="shared" si="6"/>
        <v>#DIV/0!</v>
      </c>
      <c r="AO4" s="409" t="e">
        <f t="shared" si="6"/>
        <v>#DIV/0!</v>
      </c>
      <c r="AP4" s="409" t="e">
        <f t="shared" si="6"/>
        <v>#DIV/0!</v>
      </c>
      <c r="AQ4" s="409" t="e">
        <f t="shared" si="6"/>
        <v>#DIV/0!</v>
      </c>
      <c r="AR4" s="409" t="e">
        <f t="shared" si="6"/>
        <v>#DIV/0!</v>
      </c>
      <c r="AS4" s="409" t="e">
        <f t="shared" si="6"/>
        <v>#DIV/0!</v>
      </c>
      <c r="AT4" s="409" t="e">
        <f t="shared" si="6"/>
        <v>#DIV/0!</v>
      </c>
      <c r="AU4" s="409" t="e">
        <f t="shared" ref="AU4:AZ4" si="7">STDEV(AU11:AU34)</f>
        <v>#DIV/0!</v>
      </c>
      <c r="AV4" s="409" t="e">
        <f t="shared" si="7"/>
        <v>#DIV/0!</v>
      </c>
      <c r="AW4" s="409" t="e">
        <f t="shared" si="7"/>
        <v>#DIV/0!</v>
      </c>
      <c r="AX4" s="409" t="e">
        <f t="shared" si="7"/>
        <v>#DIV/0!</v>
      </c>
      <c r="AY4" s="409" t="e">
        <f t="shared" si="7"/>
        <v>#DIV/0!</v>
      </c>
      <c r="AZ4" s="409" t="e">
        <f t="shared" si="7"/>
        <v>#DIV/0!</v>
      </c>
    </row>
    <row r="5" spans="1:86" s="10" customFormat="1">
      <c r="A5" s="291"/>
      <c r="B5" s="411" t="s">
        <v>119</v>
      </c>
      <c r="C5" s="409" t="e">
        <f>AVERAGE(C11:C34)</f>
        <v>#DIV/0!</v>
      </c>
      <c r="D5" s="409" t="e">
        <f>AVERAGE(D11:D34)</f>
        <v>#DIV/0!</v>
      </c>
      <c r="E5" s="409" t="e">
        <f t="shared" ref="E5:M5" si="8">AVERAGE(E11:E34)</f>
        <v>#DIV/0!</v>
      </c>
      <c r="F5" s="409" t="e">
        <f t="shared" si="8"/>
        <v>#DIV/0!</v>
      </c>
      <c r="G5" s="409" t="e">
        <f t="shared" si="8"/>
        <v>#DIV/0!</v>
      </c>
      <c r="H5" s="409" t="e">
        <f t="shared" si="8"/>
        <v>#DIV/0!</v>
      </c>
      <c r="I5" s="409" t="e">
        <f t="shared" si="8"/>
        <v>#DIV/0!</v>
      </c>
      <c r="J5" s="409" t="e">
        <f t="shared" si="8"/>
        <v>#DIV/0!</v>
      </c>
      <c r="K5" s="409" t="e">
        <f t="shared" si="8"/>
        <v>#DIV/0!</v>
      </c>
      <c r="L5" s="409" t="e">
        <f t="shared" si="8"/>
        <v>#DIV/0!</v>
      </c>
      <c r="M5" s="409" t="e">
        <f t="shared" si="8"/>
        <v>#DIV/0!</v>
      </c>
      <c r="N5" s="409" t="e">
        <f t="shared" ref="N5:S5" si="9">AVERAGE(N11:N34)</f>
        <v>#DIV/0!</v>
      </c>
      <c r="O5" s="409" t="e">
        <f t="shared" si="9"/>
        <v>#DIV/0!</v>
      </c>
      <c r="P5" s="409" t="e">
        <f t="shared" si="9"/>
        <v>#DIV/0!</v>
      </c>
      <c r="Q5" s="409" t="e">
        <f t="shared" si="9"/>
        <v>#DIV/0!</v>
      </c>
      <c r="R5" s="409" t="e">
        <f t="shared" si="9"/>
        <v>#DIV/0!</v>
      </c>
      <c r="S5" s="409" t="e">
        <f t="shared" si="9"/>
        <v>#DIV/0!</v>
      </c>
      <c r="T5" s="409" t="e">
        <f t="shared" ref="T5:AT5" si="10">AVERAGE(T11:T34)</f>
        <v>#DIV/0!</v>
      </c>
      <c r="U5" s="409" t="e">
        <f t="shared" si="10"/>
        <v>#DIV/0!</v>
      </c>
      <c r="V5" s="409" t="e">
        <f t="shared" si="10"/>
        <v>#DIV/0!</v>
      </c>
      <c r="W5" s="409" t="e">
        <f t="shared" si="10"/>
        <v>#DIV/0!</v>
      </c>
      <c r="X5" s="409" t="e">
        <f t="shared" si="10"/>
        <v>#DIV/0!</v>
      </c>
      <c r="Y5" s="409" t="e">
        <f t="shared" si="10"/>
        <v>#DIV/0!</v>
      </c>
      <c r="Z5" s="409">
        <f t="shared" si="10"/>
        <v>70</v>
      </c>
      <c r="AA5" s="409" t="e">
        <f t="shared" si="10"/>
        <v>#DIV/0!</v>
      </c>
      <c r="AB5" s="409" t="e">
        <f t="shared" si="10"/>
        <v>#DIV/0!</v>
      </c>
      <c r="AC5" s="409" t="e">
        <f t="shared" si="10"/>
        <v>#DIV/0!</v>
      </c>
      <c r="AD5" s="409" t="e">
        <f t="shared" si="10"/>
        <v>#DIV/0!</v>
      </c>
      <c r="AE5" s="409" t="e">
        <f t="shared" si="10"/>
        <v>#DIV/0!</v>
      </c>
      <c r="AF5" s="409" t="e">
        <f t="shared" si="10"/>
        <v>#DIV/0!</v>
      </c>
      <c r="AG5" s="409" t="e">
        <f t="shared" si="10"/>
        <v>#DIV/0!</v>
      </c>
      <c r="AH5" s="409" t="e">
        <f t="shared" si="10"/>
        <v>#DIV/0!</v>
      </c>
      <c r="AI5" s="409" t="e">
        <f t="shared" si="10"/>
        <v>#DIV/0!</v>
      </c>
      <c r="AJ5" s="409" t="e">
        <f t="shared" si="10"/>
        <v>#DIV/0!</v>
      </c>
      <c r="AK5" s="409" t="e">
        <f t="shared" si="10"/>
        <v>#DIV/0!</v>
      </c>
      <c r="AL5" s="409" t="e">
        <f t="shared" si="10"/>
        <v>#DIV/0!</v>
      </c>
      <c r="AM5" s="409" t="e">
        <f t="shared" si="10"/>
        <v>#DIV/0!</v>
      </c>
      <c r="AN5" s="409" t="e">
        <f t="shared" si="10"/>
        <v>#DIV/0!</v>
      </c>
      <c r="AO5" s="409" t="e">
        <f t="shared" si="10"/>
        <v>#DIV/0!</v>
      </c>
      <c r="AP5" s="409" t="e">
        <f t="shared" si="10"/>
        <v>#DIV/0!</v>
      </c>
      <c r="AQ5" s="409" t="e">
        <f t="shared" si="10"/>
        <v>#DIV/0!</v>
      </c>
      <c r="AR5" s="409" t="e">
        <f t="shared" si="10"/>
        <v>#DIV/0!</v>
      </c>
      <c r="AS5" s="409" t="e">
        <f t="shared" si="10"/>
        <v>#DIV/0!</v>
      </c>
      <c r="AT5" s="409" t="e">
        <f t="shared" si="10"/>
        <v>#DIV/0!</v>
      </c>
      <c r="AU5" s="409" t="e">
        <f t="shared" ref="AU5:AZ5" si="11">AVERAGE(AU11:AU34)</f>
        <v>#DIV/0!</v>
      </c>
      <c r="AV5" s="409" t="e">
        <f t="shared" si="11"/>
        <v>#DIV/0!</v>
      </c>
      <c r="AW5" s="409" t="e">
        <f t="shared" si="11"/>
        <v>#DIV/0!</v>
      </c>
      <c r="AX5" s="409" t="e">
        <f t="shared" si="11"/>
        <v>#DIV/0!</v>
      </c>
      <c r="AY5" s="409" t="e">
        <f t="shared" si="11"/>
        <v>#DIV/0!</v>
      </c>
      <c r="AZ5" s="409" t="e">
        <f t="shared" si="11"/>
        <v>#DIV/0!</v>
      </c>
    </row>
    <row r="6" spans="1:86" s="10" customFormat="1">
      <c r="B6" s="411" t="s">
        <v>120</v>
      </c>
      <c r="C6" s="409">
        <f>MIN(C11:C34)</f>
        <v>0</v>
      </c>
      <c r="D6" s="409">
        <f>MIN(D11:D34)</f>
        <v>0</v>
      </c>
      <c r="E6" s="409">
        <f t="shared" ref="E6:M6" si="12">MIN(E11:E34)</f>
        <v>0</v>
      </c>
      <c r="F6" s="409">
        <f t="shared" si="12"/>
        <v>0</v>
      </c>
      <c r="G6" s="409">
        <f t="shared" si="12"/>
        <v>0</v>
      </c>
      <c r="H6" s="409">
        <f t="shared" si="12"/>
        <v>0</v>
      </c>
      <c r="I6" s="409">
        <f t="shared" si="12"/>
        <v>0</v>
      </c>
      <c r="J6" s="409">
        <f t="shared" si="12"/>
        <v>0</v>
      </c>
      <c r="K6" s="409">
        <f t="shared" si="12"/>
        <v>0</v>
      </c>
      <c r="L6" s="409">
        <f t="shared" si="12"/>
        <v>0</v>
      </c>
      <c r="M6" s="409">
        <f t="shared" si="12"/>
        <v>0</v>
      </c>
      <c r="N6" s="409">
        <f t="shared" ref="N6:S6" si="13">MIN(N11:N34)</f>
        <v>0</v>
      </c>
      <c r="O6" s="409">
        <f t="shared" si="13"/>
        <v>0</v>
      </c>
      <c r="P6" s="409">
        <f t="shared" si="13"/>
        <v>0</v>
      </c>
      <c r="Q6" s="409">
        <f t="shared" si="13"/>
        <v>0</v>
      </c>
      <c r="R6" s="409">
        <f t="shared" si="13"/>
        <v>0</v>
      </c>
      <c r="S6" s="409">
        <f t="shared" si="13"/>
        <v>0</v>
      </c>
      <c r="T6" s="409">
        <f t="shared" ref="T6:AT6" si="14">MIN(T11:T34)</f>
        <v>0</v>
      </c>
      <c r="U6" s="409">
        <f t="shared" si="14"/>
        <v>0</v>
      </c>
      <c r="V6" s="409">
        <f t="shared" si="14"/>
        <v>0</v>
      </c>
      <c r="W6" s="409">
        <f t="shared" si="14"/>
        <v>0</v>
      </c>
      <c r="X6" s="409">
        <f t="shared" si="14"/>
        <v>0</v>
      </c>
      <c r="Y6" s="409">
        <f t="shared" si="14"/>
        <v>0</v>
      </c>
      <c r="Z6" s="409">
        <f t="shared" si="14"/>
        <v>70</v>
      </c>
      <c r="AA6" s="409">
        <f t="shared" si="14"/>
        <v>0</v>
      </c>
      <c r="AB6" s="409">
        <f t="shared" si="14"/>
        <v>0</v>
      </c>
      <c r="AC6" s="409">
        <f t="shared" si="14"/>
        <v>0</v>
      </c>
      <c r="AD6" s="409">
        <f t="shared" si="14"/>
        <v>0</v>
      </c>
      <c r="AE6" s="409">
        <f t="shared" si="14"/>
        <v>0</v>
      </c>
      <c r="AF6" s="409">
        <f t="shared" si="14"/>
        <v>0</v>
      </c>
      <c r="AG6" s="409">
        <f t="shared" si="14"/>
        <v>0</v>
      </c>
      <c r="AH6" s="409">
        <f t="shared" si="14"/>
        <v>0</v>
      </c>
      <c r="AI6" s="409">
        <f t="shared" si="14"/>
        <v>0</v>
      </c>
      <c r="AJ6" s="409">
        <f t="shared" si="14"/>
        <v>0</v>
      </c>
      <c r="AK6" s="409">
        <f t="shared" si="14"/>
        <v>0</v>
      </c>
      <c r="AL6" s="409">
        <f t="shared" si="14"/>
        <v>0</v>
      </c>
      <c r="AM6" s="409">
        <f t="shared" si="14"/>
        <v>0</v>
      </c>
      <c r="AN6" s="409">
        <f t="shared" si="14"/>
        <v>0</v>
      </c>
      <c r="AO6" s="409">
        <f t="shared" si="14"/>
        <v>0</v>
      </c>
      <c r="AP6" s="409">
        <f t="shared" si="14"/>
        <v>0</v>
      </c>
      <c r="AQ6" s="409">
        <f t="shared" si="14"/>
        <v>0</v>
      </c>
      <c r="AR6" s="409">
        <f t="shared" si="14"/>
        <v>0</v>
      </c>
      <c r="AS6" s="409">
        <f t="shared" si="14"/>
        <v>0</v>
      </c>
      <c r="AT6" s="409">
        <f t="shared" si="14"/>
        <v>0</v>
      </c>
      <c r="AU6" s="409">
        <f t="shared" ref="AU6:AZ6" si="15">MIN(AU11:AU34)</f>
        <v>0</v>
      </c>
      <c r="AV6" s="409">
        <f t="shared" si="15"/>
        <v>0</v>
      </c>
      <c r="AW6" s="409">
        <f t="shared" si="15"/>
        <v>0</v>
      </c>
      <c r="AX6" s="409">
        <f t="shared" si="15"/>
        <v>0</v>
      </c>
      <c r="AY6" s="409">
        <f t="shared" si="15"/>
        <v>0</v>
      </c>
      <c r="AZ6" s="409">
        <f t="shared" si="15"/>
        <v>0</v>
      </c>
    </row>
    <row r="7" spans="1:86" s="10" customFormat="1" ht="16.5" customHeight="1">
      <c r="B7" s="411" t="s">
        <v>121</v>
      </c>
      <c r="C7" s="409">
        <f>MAX(C11:C34)</f>
        <v>0</v>
      </c>
      <c r="D7" s="409">
        <f>MAX(D11:D34)</f>
        <v>0</v>
      </c>
      <c r="E7" s="409">
        <f t="shared" ref="E7:M7" si="16">MAX(E11:E34)</f>
        <v>0</v>
      </c>
      <c r="F7" s="409">
        <f t="shared" si="16"/>
        <v>0</v>
      </c>
      <c r="G7" s="409">
        <f t="shared" si="16"/>
        <v>0</v>
      </c>
      <c r="H7" s="409">
        <f t="shared" si="16"/>
        <v>0</v>
      </c>
      <c r="I7" s="409">
        <f t="shared" si="16"/>
        <v>0</v>
      </c>
      <c r="J7" s="409">
        <f t="shared" si="16"/>
        <v>0</v>
      </c>
      <c r="K7" s="409">
        <f t="shared" si="16"/>
        <v>0</v>
      </c>
      <c r="L7" s="409">
        <f t="shared" si="16"/>
        <v>0</v>
      </c>
      <c r="M7" s="409">
        <f t="shared" si="16"/>
        <v>0</v>
      </c>
      <c r="N7" s="409">
        <f t="shared" ref="N7:S7" si="17">MAX(N11:N34)</f>
        <v>0</v>
      </c>
      <c r="O7" s="409">
        <f t="shared" si="17"/>
        <v>0</v>
      </c>
      <c r="P7" s="409">
        <f t="shared" si="17"/>
        <v>0</v>
      </c>
      <c r="Q7" s="409">
        <f t="shared" si="17"/>
        <v>0</v>
      </c>
      <c r="R7" s="409">
        <f t="shared" si="17"/>
        <v>0</v>
      </c>
      <c r="S7" s="409">
        <f t="shared" si="17"/>
        <v>0</v>
      </c>
      <c r="T7" s="409">
        <f t="shared" ref="T7:AT7" si="18">MAX(T11:T34)</f>
        <v>0</v>
      </c>
      <c r="U7" s="409">
        <f t="shared" si="18"/>
        <v>0</v>
      </c>
      <c r="V7" s="409">
        <f t="shared" si="18"/>
        <v>0</v>
      </c>
      <c r="W7" s="409">
        <f t="shared" si="18"/>
        <v>0</v>
      </c>
      <c r="X7" s="409">
        <f t="shared" si="18"/>
        <v>0</v>
      </c>
      <c r="Y7" s="409">
        <f t="shared" si="18"/>
        <v>0</v>
      </c>
      <c r="Z7" s="409">
        <f t="shared" si="18"/>
        <v>70</v>
      </c>
      <c r="AA7" s="409">
        <f t="shared" si="18"/>
        <v>0</v>
      </c>
      <c r="AB7" s="409">
        <f t="shared" si="18"/>
        <v>0</v>
      </c>
      <c r="AC7" s="409">
        <f t="shared" si="18"/>
        <v>0</v>
      </c>
      <c r="AD7" s="409">
        <f t="shared" si="18"/>
        <v>0</v>
      </c>
      <c r="AE7" s="409">
        <f t="shared" si="18"/>
        <v>0</v>
      </c>
      <c r="AF7" s="409">
        <f t="shared" si="18"/>
        <v>0</v>
      </c>
      <c r="AG7" s="409">
        <f t="shared" si="18"/>
        <v>0</v>
      </c>
      <c r="AH7" s="409">
        <f t="shared" si="18"/>
        <v>0</v>
      </c>
      <c r="AI7" s="409">
        <f t="shared" si="18"/>
        <v>0</v>
      </c>
      <c r="AJ7" s="409">
        <f t="shared" si="18"/>
        <v>0</v>
      </c>
      <c r="AK7" s="409">
        <f t="shared" si="18"/>
        <v>0</v>
      </c>
      <c r="AL7" s="409">
        <f t="shared" si="18"/>
        <v>0</v>
      </c>
      <c r="AM7" s="409">
        <f t="shared" si="18"/>
        <v>0</v>
      </c>
      <c r="AN7" s="409">
        <f t="shared" si="18"/>
        <v>0</v>
      </c>
      <c r="AO7" s="409">
        <f t="shared" si="18"/>
        <v>0</v>
      </c>
      <c r="AP7" s="409">
        <f t="shared" si="18"/>
        <v>0</v>
      </c>
      <c r="AQ7" s="409">
        <f t="shared" si="18"/>
        <v>0</v>
      </c>
      <c r="AR7" s="409">
        <f t="shared" si="18"/>
        <v>0</v>
      </c>
      <c r="AS7" s="409">
        <f t="shared" si="18"/>
        <v>0</v>
      </c>
      <c r="AT7" s="409">
        <f t="shared" si="18"/>
        <v>0</v>
      </c>
      <c r="AU7" s="409">
        <f t="shared" ref="AU7:AZ7" si="19">MAX(AU11:AU34)</f>
        <v>0</v>
      </c>
      <c r="AV7" s="409">
        <f t="shared" si="19"/>
        <v>0</v>
      </c>
      <c r="AW7" s="409">
        <f t="shared" si="19"/>
        <v>0</v>
      </c>
      <c r="AX7" s="409">
        <f t="shared" si="19"/>
        <v>0</v>
      </c>
      <c r="AY7" s="409">
        <f t="shared" si="19"/>
        <v>0</v>
      </c>
      <c r="AZ7" s="409">
        <f t="shared" si="19"/>
        <v>0</v>
      </c>
      <c r="BD7" s="9"/>
    </row>
    <row r="8" spans="1:86" s="10" customFormat="1" ht="16.5" customHeight="1" thickBot="1">
      <c r="B8" s="1"/>
      <c r="D8" s="391"/>
      <c r="U8" s="9"/>
      <c r="V8" s="392"/>
      <c r="W8" s="393"/>
      <c r="X8" s="73"/>
      <c r="Y8" s="73"/>
      <c r="Z8" s="74"/>
      <c r="AA8" s="73"/>
      <c r="AB8" s="73"/>
      <c r="BD8" s="9"/>
    </row>
    <row r="9" spans="1:86" s="10" customFormat="1" ht="27" customHeight="1" thickBot="1">
      <c r="B9" s="1"/>
      <c r="C9" s="436" t="s">
        <v>29</v>
      </c>
      <c r="D9" s="435"/>
      <c r="E9" s="435"/>
      <c r="F9" s="435"/>
      <c r="G9" s="435"/>
      <c r="H9" s="435"/>
      <c r="I9" s="435"/>
      <c r="J9" s="435"/>
      <c r="K9" s="435"/>
      <c r="L9" s="435"/>
      <c r="M9" s="435"/>
      <c r="N9" s="435"/>
      <c r="O9" s="435"/>
      <c r="P9" s="435"/>
      <c r="Q9" s="435"/>
      <c r="R9" s="435"/>
      <c r="S9" s="437"/>
      <c r="V9" s="302">
        <v>2.4500000000000002</v>
      </c>
      <c r="W9" s="356">
        <v>1.5</v>
      </c>
      <c r="AC9" s="160" t="s">
        <v>31</v>
      </c>
      <c r="AD9" s="161"/>
      <c r="AE9" s="161"/>
      <c r="AF9" s="161"/>
      <c r="AG9" s="161"/>
      <c r="AH9" s="162"/>
      <c r="AI9" s="162"/>
      <c r="AJ9" s="162"/>
      <c r="AK9" s="278"/>
      <c r="AL9" s="432" t="s">
        <v>19</v>
      </c>
      <c r="AM9" s="433"/>
      <c r="AN9" s="434"/>
      <c r="AO9" s="432" t="s">
        <v>20</v>
      </c>
      <c r="AP9" s="433"/>
      <c r="AQ9" s="434"/>
      <c r="AR9" s="432" t="s">
        <v>21</v>
      </c>
      <c r="AS9" s="433"/>
      <c r="AT9" s="434"/>
      <c r="AU9" s="432" t="s">
        <v>130</v>
      </c>
      <c r="AV9" s="433"/>
      <c r="AW9" s="434"/>
      <c r="AX9" s="432" t="s">
        <v>131</v>
      </c>
      <c r="AY9" s="433"/>
      <c r="AZ9" s="434"/>
      <c r="BB9" s="138"/>
    </row>
    <row r="10" spans="1:86" s="29" customFormat="1" ht="39" thickBot="1">
      <c r="B10" s="26" t="s">
        <v>0</v>
      </c>
      <c r="C10" s="335" t="s">
        <v>132</v>
      </c>
      <c r="D10" s="237" t="s">
        <v>12</v>
      </c>
      <c r="E10" s="238" t="s">
        <v>13</v>
      </c>
      <c r="F10" s="132" t="s">
        <v>14</v>
      </c>
      <c r="G10" s="238" t="s">
        <v>8</v>
      </c>
      <c r="H10" s="132" t="s">
        <v>9</v>
      </c>
      <c r="I10" s="132" t="s">
        <v>15</v>
      </c>
      <c r="J10" s="132" t="s">
        <v>16</v>
      </c>
      <c r="K10" s="132" t="s">
        <v>27</v>
      </c>
      <c r="L10" s="132" t="s">
        <v>72</v>
      </c>
      <c r="M10" s="132" t="s">
        <v>73</v>
      </c>
      <c r="N10" s="132" t="s">
        <v>74</v>
      </c>
      <c r="O10" s="132" t="s">
        <v>75</v>
      </c>
      <c r="P10" s="132" t="s">
        <v>76</v>
      </c>
      <c r="Q10" s="354" t="s">
        <v>77</v>
      </c>
      <c r="R10" s="42" t="s">
        <v>79</v>
      </c>
      <c r="S10" s="355" t="s">
        <v>86</v>
      </c>
      <c r="T10" s="336" t="s">
        <v>34</v>
      </c>
      <c r="U10" s="188" t="s">
        <v>18</v>
      </c>
      <c r="V10" s="301" t="s">
        <v>2</v>
      </c>
      <c r="W10" s="301" t="s">
        <v>3</v>
      </c>
      <c r="X10" s="189" t="s">
        <v>4</v>
      </c>
      <c r="Y10" s="189" t="s">
        <v>5</v>
      </c>
      <c r="Z10" s="337" t="s">
        <v>105</v>
      </c>
      <c r="AA10" s="336" t="s">
        <v>123</v>
      </c>
      <c r="AB10" s="203" t="s">
        <v>71</v>
      </c>
      <c r="AC10" s="44" t="s">
        <v>10</v>
      </c>
      <c r="AD10" s="44" t="s">
        <v>11</v>
      </c>
      <c r="AE10" s="44" t="s">
        <v>97</v>
      </c>
      <c r="AF10" s="44" t="s">
        <v>98</v>
      </c>
      <c r="AG10" s="44" t="s">
        <v>87</v>
      </c>
      <c r="AH10" s="44" t="s">
        <v>88</v>
      </c>
      <c r="AI10" s="44" t="s">
        <v>17</v>
      </c>
      <c r="AJ10" s="44" t="s">
        <v>38</v>
      </c>
      <c r="AK10" s="44" t="s">
        <v>99</v>
      </c>
      <c r="AL10" s="42" t="s">
        <v>6</v>
      </c>
      <c r="AM10" s="42" t="s">
        <v>95</v>
      </c>
      <c r="AN10" s="209" t="s">
        <v>94</v>
      </c>
      <c r="AO10" s="42" t="s">
        <v>6</v>
      </c>
      <c r="AP10" s="42" t="s">
        <v>95</v>
      </c>
      <c r="AQ10" s="209" t="s">
        <v>94</v>
      </c>
      <c r="AR10" s="42" t="s">
        <v>6</v>
      </c>
      <c r="AS10" s="42" t="s">
        <v>95</v>
      </c>
      <c r="AT10" s="209" t="s">
        <v>94</v>
      </c>
      <c r="AU10" s="42" t="s">
        <v>6</v>
      </c>
      <c r="AV10" s="42" t="s">
        <v>95</v>
      </c>
      <c r="AW10" s="209" t="s">
        <v>94</v>
      </c>
      <c r="AX10" s="42" t="s">
        <v>6</v>
      </c>
      <c r="AY10" s="42" t="s">
        <v>95</v>
      </c>
      <c r="AZ10" s="209" t="s">
        <v>94</v>
      </c>
      <c r="BB10" s="139" t="s">
        <v>44</v>
      </c>
      <c r="BD10" s="343" t="s">
        <v>110</v>
      </c>
      <c r="BE10" s="343" t="s">
        <v>111</v>
      </c>
      <c r="CB10" s="29" t="s">
        <v>152</v>
      </c>
      <c r="CE10" s="29" t="s">
        <v>152</v>
      </c>
      <c r="CG10" s="29" t="s">
        <v>152</v>
      </c>
      <c r="CH10" s="29" t="s">
        <v>152</v>
      </c>
    </row>
    <row r="11" spans="1:86" s="10" customFormat="1" ht="13.5" customHeight="1">
      <c r="B11" s="3"/>
      <c r="C11" s="178" t="str">
        <f>IF((D11+E11+F11+G11)&lt;&gt;0,(0.786*G11+1.1*H11),"")</f>
        <v/>
      </c>
      <c r="D11" s="35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4"/>
      <c r="R11" s="35"/>
      <c r="S11" s="226"/>
      <c r="T11" s="206" t="str">
        <f>IF((D11+E11+F11+G11+H11+I11+J11+K11+L11+M11+N11+O11+P11+Q11)&lt;&gt;0,(C11+D11+E11+F11+G11+H11+I11+J11+K11+L11+M11+N11+O11+P11+Q11),"")</f>
        <v/>
      </c>
      <c r="U11" s="177" t="str">
        <f>IF((D11+E11+F11+G11)&lt;&gt;0,(4.07*G11-7.6*D11-6.72*E11-1.43*F11)*100/(100-C11),"")</f>
        <v/>
      </c>
      <c r="V11" s="116" t="str">
        <f>IF((D11+E11+F11+G11)&lt;&gt;0,D11/(E11+F11),"")</f>
        <v/>
      </c>
      <c r="W11" s="116" t="str">
        <f>IF(F11&lt;&gt;0,E11/F11,"")</f>
        <v/>
      </c>
      <c r="X11" s="59" t="str">
        <f>IF((D11+E11+F11+G11)&lt;&gt;0,G11/(D11+E11+F11),"")</f>
        <v/>
      </c>
      <c r="Y11" s="59" t="str">
        <f>IF((2.8*D11+1.18*E11+0.65*F11)&lt;&gt;0,100*G11/(2.8*D11+1.18*E11+0.65*F11),"")</f>
        <v/>
      </c>
      <c r="Z11" s="305">
        <v>70</v>
      </c>
      <c r="AA11" s="133" t="str">
        <f>IF(D11="","",(U11-Z11)^2)</f>
        <v/>
      </c>
      <c r="AB11" s="289"/>
      <c r="AC11" s="36"/>
      <c r="AD11" s="19"/>
      <c r="AE11" s="159"/>
      <c r="AF11" s="159"/>
      <c r="AG11" s="19"/>
      <c r="AH11" s="19"/>
      <c r="AI11" s="19"/>
      <c r="AJ11" s="19"/>
      <c r="AK11" s="14"/>
      <c r="AL11" s="86"/>
      <c r="AM11" s="86"/>
      <c r="AN11" s="196"/>
      <c r="AO11" s="140"/>
      <c r="AP11" s="165"/>
      <c r="AQ11" s="196"/>
      <c r="AR11" s="140"/>
      <c r="AS11" s="86"/>
      <c r="AT11" s="196"/>
      <c r="AU11" s="140"/>
      <c r="AV11" s="86"/>
      <c r="AW11" s="196"/>
      <c r="AX11" s="140"/>
      <c r="AY11" s="86"/>
      <c r="AZ11" s="196"/>
      <c r="BB11" s="332"/>
      <c r="BD11" s="344"/>
      <c r="BE11" s="349"/>
      <c r="CB11" s="10" t="s">
        <v>152</v>
      </c>
      <c r="CE11" s="10" t="s">
        <v>152</v>
      </c>
      <c r="CG11" s="10" t="s">
        <v>152</v>
      </c>
      <c r="CH11" s="10" t="s">
        <v>152</v>
      </c>
    </row>
    <row r="12" spans="1:86" s="10" customFormat="1" ht="13.5" customHeight="1">
      <c r="B12" s="3"/>
      <c r="C12" s="179"/>
      <c r="D12" s="36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21"/>
      <c r="R12" s="36"/>
      <c r="S12" s="227"/>
      <c r="T12" s="181"/>
      <c r="U12" s="65"/>
      <c r="V12" s="68"/>
      <c r="W12" s="68"/>
      <c r="X12" s="60"/>
      <c r="Y12" s="60"/>
      <c r="Z12" s="304"/>
      <c r="AA12" s="135"/>
      <c r="AB12" s="288"/>
      <c r="AC12" s="36"/>
      <c r="AD12" s="19"/>
      <c r="AE12" s="159"/>
      <c r="AF12" s="159"/>
      <c r="AG12" s="19"/>
      <c r="AH12" s="19"/>
      <c r="AI12" s="19"/>
      <c r="AJ12" s="19"/>
      <c r="AK12" s="21"/>
      <c r="AL12" s="87"/>
      <c r="AM12" s="87"/>
      <c r="AN12" s="80"/>
      <c r="AO12" s="199"/>
      <c r="AP12" s="87"/>
      <c r="AQ12" s="80"/>
      <c r="AR12" s="87"/>
      <c r="AS12" s="87"/>
      <c r="AT12" s="80"/>
      <c r="AU12" s="87"/>
      <c r="AV12" s="87"/>
      <c r="AW12" s="80"/>
      <c r="AX12" s="87"/>
      <c r="AY12" s="87"/>
      <c r="AZ12" s="80"/>
      <c r="BB12" s="82"/>
      <c r="BD12" s="345"/>
      <c r="BE12" s="350"/>
      <c r="CB12" s="10" t="s">
        <v>152</v>
      </c>
      <c r="CE12" s="10" t="s">
        <v>152</v>
      </c>
      <c r="CG12" s="10" t="s">
        <v>152</v>
      </c>
      <c r="CH12" s="10" t="s">
        <v>152</v>
      </c>
    </row>
    <row r="13" spans="1:86" s="10" customFormat="1" ht="14.25" customHeight="1">
      <c r="B13" s="3"/>
      <c r="C13" s="179"/>
      <c r="D13" s="36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21"/>
      <c r="R13" s="36"/>
      <c r="S13" s="227"/>
      <c r="T13" s="181"/>
      <c r="U13" s="65"/>
      <c r="V13" s="68"/>
      <c r="W13" s="68"/>
      <c r="X13" s="60"/>
      <c r="Y13" s="60"/>
      <c r="Z13" s="304"/>
      <c r="AA13" s="135"/>
      <c r="AB13" s="288"/>
      <c r="AC13" s="36"/>
      <c r="AD13" s="19"/>
      <c r="AE13" s="159"/>
      <c r="AF13" s="159"/>
      <c r="AG13" s="19"/>
      <c r="AH13" s="19"/>
      <c r="AI13" s="19"/>
      <c r="AJ13" s="19"/>
      <c r="AK13" s="21"/>
      <c r="AL13" s="87"/>
      <c r="AM13" s="87"/>
      <c r="AN13" s="80"/>
      <c r="AO13" s="199"/>
      <c r="AP13" s="87"/>
      <c r="AQ13" s="80"/>
      <c r="AR13" s="48"/>
      <c r="AS13" s="87"/>
      <c r="AT13" s="80"/>
      <c r="AU13" s="48"/>
      <c r="AV13" s="87"/>
      <c r="AW13" s="80"/>
      <c r="AX13" s="48"/>
      <c r="AY13" s="87"/>
      <c r="AZ13" s="80"/>
      <c r="BB13" s="82"/>
      <c r="BD13" s="345"/>
      <c r="BE13" s="350"/>
      <c r="CB13" s="10" t="s">
        <v>152</v>
      </c>
      <c r="CE13" s="10" t="s">
        <v>152</v>
      </c>
      <c r="CG13" s="10" t="s">
        <v>152</v>
      </c>
      <c r="CH13" s="10" t="s">
        <v>152</v>
      </c>
    </row>
    <row r="14" spans="1:86" s="10" customFormat="1" ht="14.25" customHeight="1">
      <c r="B14" s="3"/>
      <c r="C14" s="179"/>
      <c r="D14" s="36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21"/>
      <c r="R14" s="36"/>
      <c r="S14" s="227"/>
      <c r="T14" s="181"/>
      <c r="U14" s="65"/>
      <c r="V14" s="68"/>
      <c r="W14" s="68"/>
      <c r="X14" s="60"/>
      <c r="Y14" s="60"/>
      <c r="Z14" s="304"/>
      <c r="AA14" s="135"/>
      <c r="AB14" s="288"/>
      <c r="AC14" s="36"/>
      <c r="AD14" s="19"/>
      <c r="AE14" s="159"/>
      <c r="AF14" s="159"/>
      <c r="AG14" s="19"/>
      <c r="AH14" s="19"/>
      <c r="AI14" s="19"/>
      <c r="AJ14" s="19"/>
      <c r="AK14" s="21"/>
      <c r="AL14" s="87"/>
      <c r="AM14" s="87"/>
      <c r="AN14" s="80"/>
      <c r="AO14" s="199"/>
      <c r="AP14" s="87"/>
      <c r="AQ14" s="80"/>
      <c r="AR14" s="48"/>
      <c r="AS14" s="87"/>
      <c r="AT14" s="80"/>
      <c r="AU14" s="48"/>
      <c r="AV14" s="87"/>
      <c r="AW14" s="80"/>
      <c r="AX14" s="48"/>
      <c r="AY14" s="87"/>
      <c r="AZ14" s="80"/>
      <c r="BB14" s="82"/>
      <c r="BD14" s="345"/>
      <c r="BE14" s="350"/>
      <c r="CB14" s="10" t="s">
        <v>152</v>
      </c>
      <c r="CE14" s="10" t="s">
        <v>152</v>
      </c>
      <c r="CG14" s="10" t="s">
        <v>152</v>
      </c>
      <c r="CH14" s="10" t="s">
        <v>152</v>
      </c>
    </row>
    <row r="15" spans="1:86" s="10" customFormat="1" ht="14.25" customHeight="1">
      <c r="B15" s="3"/>
      <c r="C15" s="179"/>
      <c r="D15" s="36"/>
      <c r="E15" s="19"/>
      <c r="F15" s="19"/>
      <c r="G15" s="19"/>
      <c r="H15" s="19"/>
      <c r="I15" s="19"/>
      <c r="J15" s="19"/>
      <c r="K15" s="228"/>
      <c r="L15" s="19"/>
      <c r="M15" s="19"/>
      <c r="N15" s="19"/>
      <c r="O15" s="19"/>
      <c r="P15" s="201"/>
      <c r="Q15" s="21"/>
      <c r="R15" s="36"/>
      <c r="S15" s="227"/>
      <c r="T15" s="181"/>
      <c r="U15" s="65"/>
      <c r="V15" s="68"/>
      <c r="W15" s="68"/>
      <c r="X15" s="60"/>
      <c r="Y15" s="60"/>
      <c r="Z15" s="304"/>
      <c r="AA15" s="135"/>
      <c r="AB15" s="288"/>
      <c r="AC15" s="36"/>
      <c r="AD15" s="19"/>
      <c r="AE15" s="159"/>
      <c r="AF15" s="159"/>
      <c r="AG15" s="19"/>
      <c r="AH15" s="19"/>
      <c r="AI15" s="19"/>
      <c r="AJ15" s="19"/>
      <c r="AK15" s="21"/>
      <c r="AL15" s="87"/>
      <c r="AM15" s="165"/>
      <c r="AN15" s="80"/>
      <c r="AO15" s="199"/>
      <c r="AP15" s="267"/>
      <c r="AQ15" s="87"/>
      <c r="AR15" s="48"/>
      <c r="AS15" s="87"/>
      <c r="AT15" s="80"/>
      <c r="AU15" s="48"/>
      <c r="AV15" s="87"/>
      <c r="AW15" s="80"/>
      <c r="AX15" s="48"/>
      <c r="AY15" s="87"/>
      <c r="AZ15" s="80"/>
      <c r="BB15" s="82"/>
      <c r="BD15" s="345"/>
      <c r="BE15" s="350"/>
      <c r="CB15" s="10" t="s">
        <v>152</v>
      </c>
      <c r="CE15" s="10" t="s">
        <v>152</v>
      </c>
      <c r="CG15" s="10" t="s">
        <v>152</v>
      </c>
      <c r="CH15" s="10" t="s">
        <v>152</v>
      </c>
    </row>
    <row r="16" spans="1:86" s="10" customFormat="1" ht="14.25" customHeight="1">
      <c r="B16" s="3"/>
      <c r="C16" s="179"/>
      <c r="D16" s="200"/>
      <c r="E16" s="201"/>
      <c r="F16" s="201"/>
      <c r="G16" s="201"/>
      <c r="H16" s="19"/>
      <c r="I16" s="201"/>
      <c r="J16" s="201"/>
      <c r="K16" s="201"/>
      <c r="L16" s="201"/>
      <c r="M16" s="201"/>
      <c r="N16" s="201"/>
      <c r="O16" s="201"/>
      <c r="P16" s="201"/>
      <c r="Q16" s="287"/>
      <c r="R16" s="36"/>
      <c r="S16" s="227"/>
      <c r="T16" s="181"/>
      <c r="U16" s="65"/>
      <c r="V16" s="68"/>
      <c r="W16" s="68"/>
      <c r="X16" s="60"/>
      <c r="Y16" s="60"/>
      <c r="Z16" s="304"/>
      <c r="AA16" s="135"/>
      <c r="AB16" s="288"/>
      <c r="AC16" s="385"/>
      <c r="AD16" s="386"/>
      <c r="AE16" s="387"/>
      <c r="AF16" s="387"/>
      <c r="AG16" s="386"/>
      <c r="AH16" s="386"/>
      <c r="AI16" s="386"/>
      <c r="AJ16" s="386"/>
      <c r="AK16" s="21"/>
      <c r="AL16" s="87"/>
      <c r="AM16" s="87"/>
      <c r="AN16" s="80"/>
      <c r="AO16" s="199"/>
      <c r="AP16" s="267"/>
      <c r="AQ16" s="87"/>
      <c r="AR16" s="48"/>
      <c r="AS16" s="87"/>
      <c r="AT16" s="80"/>
      <c r="AU16" s="48"/>
      <c r="AV16" s="87"/>
      <c r="AW16" s="80"/>
      <c r="AX16" s="48"/>
      <c r="AY16" s="87"/>
      <c r="AZ16" s="80"/>
      <c r="BB16" s="82"/>
      <c r="BD16" s="345"/>
      <c r="BE16" s="350"/>
      <c r="CB16" s="10" t="s">
        <v>152</v>
      </c>
      <c r="CE16" s="10" t="s">
        <v>152</v>
      </c>
      <c r="CG16" s="10" t="s">
        <v>152</v>
      </c>
      <c r="CH16" s="10" t="s">
        <v>152</v>
      </c>
    </row>
    <row r="17" spans="2:86" s="10" customFormat="1" ht="14.25" customHeight="1">
      <c r="B17" s="3"/>
      <c r="C17" s="179"/>
      <c r="D17" s="36"/>
      <c r="E17" s="19"/>
      <c r="F17" s="19"/>
      <c r="G17" s="19"/>
      <c r="H17" s="19"/>
      <c r="I17" s="19"/>
      <c r="J17" s="19"/>
      <c r="K17" s="228"/>
      <c r="L17" s="19"/>
      <c r="M17" s="19"/>
      <c r="N17" s="19"/>
      <c r="O17" s="19"/>
      <c r="P17" s="201"/>
      <c r="Q17" s="21"/>
      <c r="R17" s="36"/>
      <c r="S17" s="227"/>
      <c r="T17" s="181"/>
      <c r="U17" s="65"/>
      <c r="V17" s="68"/>
      <c r="W17" s="68"/>
      <c r="X17" s="60"/>
      <c r="Y17" s="60"/>
      <c r="Z17" s="304"/>
      <c r="AA17" s="135"/>
      <c r="AB17" s="288"/>
      <c r="AC17" s="36"/>
      <c r="AD17" s="19"/>
      <c r="AE17" s="159"/>
      <c r="AF17" s="159"/>
      <c r="AG17" s="19"/>
      <c r="AH17" s="19"/>
      <c r="AI17" s="19"/>
      <c r="AJ17" s="19"/>
      <c r="AK17" s="21"/>
      <c r="AL17" s="87"/>
      <c r="AM17" s="165"/>
      <c r="AN17" s="80"/>
      <c r="AO17" s="199"/>
      <c r="AP17" s="267"/>
      <c r="AQ17" s="87"/>
      <c r="AR17" s="48"/>
      <c r="AS17" s="87"/>
      <c r="AT17" s="80"/>
      <c r="AU17" s="48"/>
      <c r="AV17" s="87"/>
      <c r="AW17" s="80"/>
      <c r="AX17" s="48"/>
      <c r="AY17" s="87"/>
      <c r="AZ17" s="80"/>
      <c r="BB17" s="82"/>
      <c r="BD17" s="345"/>
      <c r="BE17" s="350"/>
      <c r="CB17" s="10" t="s">
        <v>152</v>
      </c>
      <c r="CE17" s="10" t="s">
        <v>152</v>
      </c>
      <c r="CG17" s="10" t="s">
        <v>152</v>
      </c>
      <c r="CH17" s="10" t="s">
        <v>152</v>
      </c>
    </row>
    <row r="18" spans="2:86" s="10" customFormat="1" ht="14.25" customHeight="1">
      <c r="B18" s="3"/>
      <c r="C18" s="179"/>
      <c r="D18" s="36"/>
      <c r="E18" s="19"/>
      <c r="F18" s="19"/>
      <c r="G18" s="19"/>
      <c r="H18" s="19"/>
      <c r="I18" s="19"/>
      <c r="J18" s="19"/>
      <c r="K18" s="228"/>
      <c r="L18" s="19"/>
      <c r="M18" s="19"/>
      <c r="N18" s="19"/>
      <c r="O18" s="19"/>
      <c r="P18" s="201"/>
      <c r="Q18" s="21"/>
      <c r="R18" s="36"/>
      <c r="S18" s="227"/>
      <c r="T18" s="181"/>
      <c r="U18" s="65"/>
      <c r="V18" s="68"/>
      <c r="W18" s="68"/>
      <c r="X18" s="60"/>
      <c r="Y18" s="60"/>
      <c r="Z18" s="304"/>
      <c r="AA18" s="135"/>
      <c r="AB18" s="288"/>
      <c r="AC18" s="36"/>
      <c r="AD18" s="19"/>
      <c r="AE18" s="159"/>
      <c r="AF18" s="159"/>
      <c r="AG18" s="19"/>
      <c r="AH18" s="19"/>
      <c r="AI18" s="19"/>
      <c r="AJ18" s="19"/>
      <c r="AK18" s="21"/>
      <c r="AL18" s="87"/>
      <c r="AM18" s="165"/>
      <c r="AN18" s="80"/>
      <c r="AO18" s="199"/>
      <c r="AP18" s="267"/>
      <c r="AQ18" s="87"/>
      <c r="AR18" s="48"/>
      <c r="AS18" s="87"/>
      <c r="AT18" s="80"/>
      <c r="AU18" s="48"/>
      <c r="AV18" s="87"/>
      <c r="AW18" s="80"/>
      <c r="AX18" s="48"/>
      <c r="AY18" s="87"/>
      <c r="AZ18" s="80"/>
      <c r="BB18" s="82"/>
      <c r="BD18" s="345"/>
      <c r="BE18" s="350"/>
      <c r="CB18" s="10" t="s">
        <v>152</v>
      </c>
      <c r="CE18" s="10" t="s">
        <v>152</v>
      </c>
      <c r="CG18" s="10" t="s">
        <v>152</v>
      </c>
      <c r="CH18" s="10" t="s">
        <v>152</v>
      </c>
    </row>
    <row r="19" spans="2:86" s="10" customFormat="1" ht="14.25" customHeight="1">
      <c r="B19" s="3"/>
      <c r="C19" s="179"/>
      <c r="D19" s="36"/>
      <c r="E19" s="19"/>
      <c r="F19" s="19"/>
      <c r="G19" s="19"/>
      <c r="H19" s="19"/>
      <c r="I19" s="19"/>
      <c r="J19" s="19"/>
      <c r="K19" s="228"/>
      <c r="L19" s="19"/>
      <c r="M19" s="19"/>
      <c r="N19" s="19"/>
      <c r="O19" s="19"/>
      <c r="P19" s="201"/>
      <c r="Q19" s="21"/>
      <c r="R19" s="36"/>
      <c r="S19" s="227"/>
      <c r="T19" s="181"/>
      <c r="U19" s="65"/>
      <c r="V19" s="68"/>
      <c r="W19" s="68"/>
      <c r="X19" s="60"/>
      <c r="Y19" s="60"/>
      <c r="Z19" s="304"/>
      <c r="AA19" s="135"/>
      <c r="AB19" s="288"/>
      <c r="AC19" s="36"/>
      <c r="AD19" s="19"/>
      <c r="AE19" s="159"/>
      <c r="AF19" s="159"/>
      <c r="AG19" s="19"/>
      <c r="AH19" s="19"/>
      <c r="AI19" s="19"/>
      <c r="AJ19" s="19"/>
      <c r="AK19" s="21"/>
      <c r="AL19" s="87"/>
      <c r="AM19" s="165"/>
      <c r="AN19" s="80"/>
      <c r="AO19" s="199"/>
      <c r="AP19" s="267"/>
      <c r="AQ19" s="87"/>
      <c r="AR19" s="48"/>
      <c r="AS19" s="87"/>
      <c r="AT19" s="80"/>
      <c r="AU19" s="48"/>
      <c r="AV19" s="87"/>
      <c r="AW19" s="80"/>
      <c r="AX19" s="48"/>
      <c r="AY19" s="87"/>
      <c r="AZ19" s="80"/>
      <c r="BB19" s="82"/>
      <c r="BD19" s="345"/>
      <c r="BE19" s="350"/>
      <c r="CB19" s="10" t="s">
        <v>152</v>
      </c>
      <c r="CE19" s="10" t="s">
        <v>152</v>
      </c>
      <c r="CG19" s="10" t="s">
        <v>152</v>
      </c>
      <c r="CH19" s="10" t="s">
        <v>152</v>
      </c>
    </row>
    <row r="20" spans="2:86" s="10" customFormat="1" ht="14.25" customHeight="1">
      <c r="B20" s="3"/>
      <c r="C20" s="179"/>
      <c r="D20" s="36"/>
      <c r="E20" s="19"/>
      <c r="F20" s="19"/>
      <c r="G20" s="19"/>
      <c r="H20" s="19"/>
      <c r="I20" s="19"/>
      <c r="J20" s="19"/>
      <c r="K20" s="228"/>
      <c r="L20" s="19"/>
      <c r="M20" s="19"/>
      <c r="N20" s="19"/>
      <c r="O20" s="19"/>
      <c r="P20" s="201"/>
      <c r="Q20" s="21"/>
      <c r="R20" s="36"/>
      <c r="S20" s="227"/>
      <c r="T20" s="181"/>
      <c r="U20" s="65"/>
      <c r="V20" s="68"/>
      <c r="W20" s="68"/>
      <c r="X20" s="60"/>
      <c r="Y20" s="60"/>
      <c r="Z20" s="304"/>
      <c r="AA20" s="135"/>
      <c r="AB20" s="288"/>
      <c r="AC20" s="36"/>
      <c r="AD20" s="19"/>
      <c r="AE20" s="159"/>
      <c r="AF20" s="159"/>
      <c r="AG20" s="19"/>
      <c r="AH20" s="19"/>
      <c r="AI20" s="19"/>
      <c r="AJ20" s="19"/>
      <c r="AK20" s="21"/>
      <c r="AL20" s="87"/>
      <c r="AM20" s="165"/>
      <c r="AN20" s="80"/>
      <c r="AO20" s="199"/>
      <c r="AP20" s="267"/>
      <c r="AQ20" s="87"/>
      <c r="AR20" s="48"/>
      <c r="AS20" s="87"/>
      <c r="AT20" s="80"/>
      <c r="AU20" s="48"/>
      <c r="AV20" s="87"/>
      <c r="AW20" s="80"/>
      <c r="AX20" s="48"/>
      <c r="AY20" s="87"/>
      <c r="AZ20" s="80"/>
      <c r="BB20" s="82"/>
      <c r="BD20" s="345"/>
      <c r="BE20" s="350"/>
      <c r="CB20" s="10" t="s">
        <v>152</v>
      </c>
      <c r="CE20" s="10" t="s">
        <v>152</v>
      </c>
      <c r="CG20" s="10" t="s">
        <v>152</v>
      </c>
      <c r="CH20" s="10" t="s">
        <v>152</v>
      </c>
    </row>
    <row r="21" spans="2:86" s="10" customFormat="1" ht="14.25" customHeight="1">
      <c r="B21" s="3"/>
      <c r="C21" s="179"/>
      <c r="D21" s="36"/>
      <c r="E21" s="19"/>
      <c r="F21" s="19"/>
      <c r="G21" s="19"/>
      <c r="H21" s="19"/>
      <c r="I21" s="19"/>
      <c r="J21" s="19"/>
      <c r="K21" s="228"/>
      <c r="L21" s="19"/>
      <c r="M21" s="19"/>
      <c r="N21" s="19"/>
      <c r="O21" s="19"/>
      <c r="P21" s="201"/>
      <c r="Q21" s="21"/>
      <c r="R21" s="36"/>
      <c r="S21" s="227"/>
      <c r="T21" s="181"/>
      <c r="U21" s="65"/>
      <c r="V21" s="68"/>
      <c r="W21" s="68"/>
      <c r="X21" s="60"/>
      <c r="Y21" s="60"/>
      <c r="Z21" s="304"/>
      <c r="AA21" s="135"/>
      <c r="AB21" s="288"/>
      <c r="AC21" s="36"/>
      <c r="AD21" s="19"/>
      <c r="AE21" s="159"/>
      <c r="AF21" s="159"/>
      <c r="AG21" s="19"/>
      <c r="AH21" s="19"/>
      <c r="AI21" s="19"/>
      <c r="AJ21" s="19"/>
      <c r="AK21" s="21"/>
      <c r="AL21" s="87"/>
      <c r="AM21" s="165"/>
      <c r="AN21" s="80"/>
      <c r="AO21" s="199"/>
      <c r="AP21" s="267"/>
      <c r="AQ21" s="87"/>
      <c r="AR21" s="48"/>
      <c r="AS21" s="87"/>
      <c r="AT21" s="80"/>
      <c r="AU21" s="48"/>
      <c r="AV21" s="87"/>
      <c r="AW21" s="80"/>
      <c r="AX21" s="48"/>
      <c r="AY21" s="87"/>
      <c r="AZ21" s="80"/>
      <c r="BB21" s="82"/>
      <c r="BD21" s="345"/>
      <c r="BE21" s="350"/>
      <c r="CB21" s="10" t="s">
        <v>152</v>
      </c>
      <c r="CE21" s="10" t="s">
        <v>152</v>
      </c>
      <c r="CG21" s="10" t="s">
        <v>152</v>
      </c>
      <c r="CH21" s="10" t="s">
        <v>152</v>
      </c>
    </row>
    <row r="22" spans="2:86" s="10" customFormat="1" ht="14.25" customHeight="1">
      <c r="B22" s="3"/>
      <c r="C22" s="179"/>
      <c r="D22" s="36"/>
      <c r="E22" s="19"/>
      <c r="F22" s="19"/>
      <c r="G22" s="19"/>
      <c r="H22" s="19"/>
      <c r="I22" s="19"/>
      <c r="J22" s="19"/>
      <c r="K22" s="228"/>
      <c r="L22" s="19"/>
      <c r="M22" s="19"/>
      <c r="N22" s="19"/>
      <c r="O22" s="19"/>
      <c r="P22" s="201"/>
      <c r="Q22" s="21"/>
      <c r="R22" s="36"/>
      <c r="S22" s="227"/>
      <c r="T22" s="181"/>
      <c r="U22" s="65"/>
      <c r="V22" s="68"/>
      <c r="W22" s="68"/>
      <c r="X22" s="60"/>
      <c r="Y22" s="60"/>
      <c r="Z22" s="304"/>
      <c r="AA22" s="135"/>
      <c r="AB22" s="288"/>
      <c r="AC22" s="36"/>
      <c r="AD22" s="19"/>
      <c r="AE22" s="159"/>
      <c r="AF22" s="159"/>
      <c r="AG22" s="19"/>
      <c r="AH22" s="19"/>
      <c r="AI22" s="19"/>
      <c r="AJ22" s="19"/>
      <c r="AK22" s="21"/>
      <c r="AL22" s="87"/>
      <c r="AM22" s="165"/>
      <c r="AN22" s="80"/>
      <c r="AO22" s="199"/>
      <c r="AP22" s="267"/>
      <c r="AQ22" s="87"/>
      <c r="AR22" s="48"/>
      <c r="AS22" s="87"/>
      <c r="AT22" s="80"/>
      <c r="AU22" s="48"/>
      <c r="AV22" s="87"/>
      <c r="AW22" s="80"/>
      <c r="AX22" s="48"/>
      <c r="AY22" s="87"/>
      <c r="AZ22" s="80"/>
      <c r="BB22" s="82"/>
      <c r="BD22" s="345"/>
      <c r="BE22" s="350"/>
      <c r="CB22" s="10" t="s">
        <v>152</v>
      </c>
      <c r="CE22" s="10" t="s">
        <v>152</v>
      </c>
      <c r="CG22" s="10" t="s">
        <v>152</v>
      </c>
      <c r="CH22" s="10" t="s">
        <v>152</v>
      </c>
    </row>
    <row r="23" spans="2:86" s="10" customFormat="1" ht="14.25" customHeight="1">
      <c r="B23" s="3"/>
      <c r="C23" s="179"/>
      <c r="D23" s="36"/>
      <c r="E23" s="19"/>
      <c r="F23" s="19"/>
      <c r="G23" s="19"/>
      <c r="H23" s="19"/>
      <c r="I23" s="19"/>
      <c r="J23" s="19"/>
      <c r="K23" s="228"/>
      <c r="L23" s="19"/>
      <c r="M23" s="19"/>
      <c r="N23" s="19"/>
      <c r="O23" s="19"/>
      <c r="P23" s="201"/>
      <c r="Q23" s="21"/>
      <c r="R23" s="36"/>
      <c r="S23" s="227"/>
      <c r="T23" s="181"/>
      <c r="U23" s="65"/>
      <c r="V23" s="68"/>
      <c r="W23" s="68"/>
      <c r="X23" s="60"/>
      <c r="Y23" s="60"/>
      <c r="Z23" s="304"/>
      <c r="AA23" s="135"/>
      <c r="AB23" s="288"/>
      <c r="AC23" s="36"/>
      <c r="AD23" s="19"/>
      <c r="AE23" s="159"/>
      <c r="AF23" s="159"/>
      <c r="AG23" s="19"/>
      <c r="AH23" s="19"/>
      <c r="AI23" s="19"/>
      <c r="AJ23" s="19"/>
      <c r="AK23" s="21"/>
      <c r="AL23" s="87"/>
      <c r="AM23" s="165"/>
      <c r="AN23" s="80"/>
      <c r="AO23" s="199"/>
      <c r="AP23" s="267"/>
      <c r="AQ23" s="87"/>
      <c r="AR23" s="48"/>
      <c r="AS23" s="87"/>
      <c r="AT23" s="80"/>
      <c r="AU23" s="48"/>
      <c r="AV23" s="87"/>
      <c r="AW23" s="80"/>
      <c r="AX23" s="48"/>
      <c r="AY23" s="87"/>
      <c r="AZ23" s="80"/>
      <c r="BB23" s="82"/>
      <c r="BD23" s="345"/>
      <c r="BE23" s="350"/>
      <c r="CB23" s="10" t="s">
        <v>152</v>
      </c>
      <c r="CE23" s="10" t="s">
        <v>152</v>
      </c>
      <c r="CG23" s="10" t="s">
        <v>152</v>
      </c>
      <c r="CH23" s="10" t="s">
        <v>152</v>
      </c>
    </row>
    <row r="24" spans="2:86" s="10" customFormat="1" ht="14.25" customHeight="1">
      <c r="B24" s="3"/>
      <c r="C24" s="179"/>
      <c r="D24" s="36"/>
      <c r="E24" s="19"/>
      <c r="F24" s="19"/>
      <c r="G24" s="19"/>
      <c r="H24" s="19"/>
      <c r="I24" s="19"/>
      <c r="J24" s="19"/>
      <c r="K24" s="228"/>
      <c r="L24" s="19"/>
      <c r="M24" s="19"/>
      <c r="N24" s="19"/>
      <c r="O24" s="19"/>
      <c r="P24" s="201"/>
      <c r="Q24" s="21"/>
      <c r="R24" s="36"/>
      <c r="S24" s="227"/>
      <c r="T24" s="181"/>
      <c r="U24" s="65"/>
      <c r="V24" s="68"/>
      <c r="W24" s="68"/>
      <c r="X24" s="60"/>
      <c r="Y24" s="60"/>
      <c r="Z24" s="304"/>
      <c r="AA24" s="135"/>
      <c r="AB24" s="288"/>
      <c r="AC24" s="36"/>
      <c r="AD24" s="19"/>
      <c r="AE24" s="159"/>
      <c r="AF24" s="159"/>
      <c r="AG24" s="19"/>
      <c r="AH24" s="19"/>
      <c r="AI24" s="19"/>
      <c r="AJ24" s="19"/>
      <c r="AK24" s="21"/>
      <c r="AL24" s="87"/>
      <c r="AM24" s="165"/>
      <c r="AN24" s="80"/>
      <c r="AO24" s="199"/>
      <c r="AP24" s="267"/>
      <c r="AQ24" s="87"/>
      <c r="AR24" s="48"/>
      <c r="AS24" s="87"/>
      <c r="AT24" s="80"/>
      <c r="AU24" s="48"/>
      <c r="AV24" s="87"/>
      <c r="AW24" s="80"/>
      <c r="AX24" s="48"/>
      <c r="AY24" s="87"/>
      <c r="AZ24" s="80"/>
      <c r="BB24" s="82"/>
      <c r="BD24" s="345"/>
      <c r="BE24" s="350"/>
      <c r="CB24" s="10" t="s">
        <v>152</v>
      </c>
      <c r="CE24" s="10" t="s">
        <v>152</v>
      </c>
      <c r="CG24" s="10" t="s">
        <v>152</v>
      </c>
      <c r="CH24" s="10" t="s">
        <v>152</v>
      </c>
    </row>
    <row r="25" spans="2:86" s="10" customFormat="1" ht="14.25" customHeight="1">
      <c r="B25" s="3"/>
      <c r="C25" s="179"/>
      <c r="D25" s="36"/>
      <c r="E25" s="19"/>
      <c r="F25" s="19"/>
      <c r="G25" s="19"/>
      <c r="H25" s="19"/>
      <c r="I25" s="19"/>
      <c r="J25" s="19"/>
      <c r="K25" s="228"/>
      <c r="L25" s="19"/>
      <c r="M25" s="19"/>
      <c r="N25" s="19"/>
      <c r="O25" s="19"/>
      <c r="P25" s="201"/>
      <c r="Q25" s="21"/>
      <c r="R25" s="36"/>
      <c r="S25" s="227"/>
      <c r="T25" s="181"/>
      <c r="U25" s="65"/>
      <c r="V25" s="68"/>
      <c r="W25" s="68"/>
      <c r="X25" s="60"/>
      <c r="Y25" s="60"/>
      <c r="Z25" s="304"/>
      <c r="AA25" s="135"/>
      <c r="AB25" s="288"/>
      <c r="AC25" s="36"/>
      <c r="AD25" s="19"/>
      <c r="AE25" s="159"/>
      <c r="AF25" s="159"/>
      <c r="AG25" s="19"/>
      <c r="AH25" s="19"/>
      <c r="AI25" s="19"/>
      <c r="AJ25" s="19"/>
      <c r="AK25" s="21"/>
      <c r="AL25" s="87"/>
      <c r="AM25" s="165"/>
      <c r="AN25" s="80"/>
      <c r="AO25" s="199"/>
      <c r="AP25" s="267"/>
      <c r="AQ25" s="87"/>
      <c r="AR25" s="48"/>
      <c r="AS25" s="87"/>
      <c r="AT25" s="80"/>
      <c r="AU25" s="48"/>
      <c r="AV25" s="87"/>
      <c r="AW25" s="80"/>
      <c r="AX25" s="48"/>
      <c r="AY25" s="87"/>
      <c r="AZ25" s="80"/>
      <c r="BB25" s="82"/>
      <c r="BD25" s="345"/>
      <c r="BE25" s="350"/>
      <c r="CB25" s="10" t="s">
        <v>152</v>
      </c>
      <c r="CE25" s="10" t="s">
        <v>152</v>
      </c>
      <c r="CG25" s="10" t="s">
        <v>152</v>
      </c>
      <c r="CH25" s="10" t="s">
        <v>152</v>
      </c>
    </row>
    <row r="26" spans="2:86" s="10" customFormat="1" ht="14.25" customHeight="1">
      <c r="B26" s="3"/>
      <c r="C26" s="179"/>
      <c r="D26" s="36"/>
      <c r="E26" s="19"/>
      <c r="F26" s="19"/>
      <c r="G26" s="19"/>
      <c r="H26" s="19"/>
      <c r="I26" s="19"/>
      <c r="J26" s="19"/>
      <c r="K26" s="228"/>
      <c r="L26" s="19"/>
      <c r="M26" s="19"/>
      <c r="N26" s="19"/>
      <c r="O26" s="19"/>
      <c r="P26" s="201"/>
      <c r="Q26" s="21"/>
      <c r="R26" s="36"/>
      <c r="S26" s="227"/>
      <c r="T26" s="181"/>
      <c r="U26" s="65"/>
      <c r="V26" s="68"/>
      <c r="W26" s="68"/>
      <c r="X26" s="60"/>
      <c r="Y26" s="60"/>
      <c r="Z26" s="304"/>
      <c r="AA26" s="135"/>
      <c r="AB26" s="288"/>
      <c r="AC26" s="36"/>
      <c r="AD26" s="19"/>
      <c r="AE26" s="159"/>
      <c r="AF26" s="159"/>
      <c r="AG26" s="19"/>
      <c r="AH26" s="19"/>
      <c r="AI26" s="19"/>
      <c r="AJ26" s="19"/>
      <c r="AK26" s="21"/>
      <c r="AL26" s="87"/>
      <c r="AM26" s="165"/>
      <c r="AN26" s="80"/>
      <c r="AO26" s="199"/>
      <c r="AP26" s="267"/>
      <c r="AQ26" s="87"/>
      <c r="AR26" s="48"/>
      <c r="AS26" s="87"/>
      <c r="AT26" s="80"/>
      <c r="AU26" s="48"/>
      <c r="AV26" s="87"/>
      <c r="AW26" s="80"/>
      <c r="AX26" s="48"/>
      <c r="AY26" s="87"/>
      <c r="AZ26" s="80"/>
      <c r="BB26" s="82"/>
      <c r="BD26" s="345"/>
      <c r="BE26" s="350"/>
      <c r="CB26" s="10" t="s">
        <v>152</v>
      </c>
      <c r="CE26" s="10" t="s">
        <v>152</v>
      </c>
      <c r="CG26" s="10" t="s">
        <v>152</v>
      </c>
      <c r="CH26" s="10" t="s">
        <v>152</v>
      </c>
    </row>
    <row r="27" spans="2:86" s="10" customFormat="1" ht="14.25" customHeight="1">
      <c r="B27" s="3"/>
      <c r="C27" s="179"/>
      <c r="D27" s="36"/>
      <c r="E27" s="19"/>
      <c r="F27" s="19"/>
      <c r="G27" s="19"/>
      <c r="H27" s="19"/>
      <c r="I27" s="19"/>
      <c r="J27" s="19"/>
      <c r="K27" s="228"/>
      <c r="L27" s="19"/>
      <c r="M27" s="19"/>
      <c r="N27" s="19"/>
      <c r="O27" s="19"/>
      <c r="P27" s="201"/>
      <c r="Q27" s="21"/>
      <c r="R27" s="36"/>
      <c r="S27" s="227"/>
      <c r="T27" s="181"/>
      <c r="U27" s="65"/>
      <c r="V27" s="68"/>
      <c r="W27" s="68"/>
      <c r="X27" s="60"/>
      <c r="Y27" s="60"/>
      <c r="Z27" s="304"/>
      <c r="AA27" s="135"/>
      <c r="AB27" s="288"/>
      <c r="AC27" s="36"/>
      <c r="AD27" s="19"/>
      <c r="AE27" s="159"/>
      <c r="AF27" s="159"/>
      <c r="AG27" s="19"/>
      <c r="AH27" s="19"/>
      <c r="AI27" s="19"/>
      <c r="AJ27" s="19"/>
      <c r="AK27" s="21"/>
      <c r="AL27" s="87"/>
      <c r="AM27" s="165"/>
      <c r="AN27" s="80"/>
      <c r="AO27" s="199"/>
      <c r="AP27" s="267"/>
      <c r="AQ27" s="87"/>
      <c r="AR27" s="48"/>
      <c r="AS27" s="87"/>
      <c r="AT27" s="80"/>
      <c r="AU27" s="48"/>
      <c r="AV27" s="87"/>
      <c r="AW27" s="80"/>
      <c r="AX27" s="48"/>
      <c r="AY27" s="87"/>
      <c r="AZ27" s="80"/>
      <c r="BB27" s="82"/>
      <c r="BD27" s="345"/>
      <c r="BE27" s="350"/>
      <c r="CB27" s="10" t="s">
        <v>152</v>
      </c>
      <c r="CE27" s="10" t="s">
        <v>152</v>
      </c>
      <c r="CG27" s="10" t="s">
        <v>152</v>
      </c>
      <c r="CH27" s="10" t="s">
        <v>152</v>
      </c>
    </row>
    <row r="28" spans="2:86" s="10" customFormat="1" ht="14.25" customHeight="1">
      <c r="B28" s="3"/>
      <c r="C28" s="179"/>
      <c r="D28" s="36"/>
      <c r="E28" s="19"/>
      <c r="F28" s="19"/>
      <c r="G28" s="19"/>
      <c r="H28" s="19"/>
      <c r="I28" s="19"/>
      <c r="J28" s="19"/>
      <c r="K28" s="228"/>
      <c r="L28" s="19"/>
      <c r="M28" s="19"/>
      <c r="N28" s="19"/>
      <c r="O28" s="19"/>
      <c r="P28" s="201"/>
      <c r="Q28" s="21"/>
      <c r="R28" s="36"/>
      <c r="S28" s="227"/>
      <c r="T28" s="181"/>
      <c r="U28" s="65"/>
      <c r="V28" s="68"/>
      <c r="W28" s="68"/>
      <c r="X28" s="60"/>
      <c r="Y28" s="60"/>
      <c r="Z28" s="304"/>
      <c r="AA28" s="135"/>
      <c r="AB28" s="288"/>
      <c r="AC28" s="36"/>
      <c r="AD28" s="19"/>
      <c r="AE28" s="159"/>
      <c r="AF28" s="159"/>
      <c r="AG28" s="19"/>
      <c r="AH28" s="19"/>
      <c r="AI28" s="19"/>
      <c r="AJ28" s="19"/>
      <c r="AK28" s="21"/>
      <c r="AL28" s="87"/>
      <c r="AM28" s="165"/>
      <c r="AN28" s="80"/>
      <c r="AO28" s="199"/>
      <c r="AP28" s="267"/>
      <c r="AQ28" s="87"/>
      <c r="AR28" s="48"/>
      <c r="AS28" s="87"/>
      <c r="AT28" s="80"/>
      <c r="AU28" s="48"/>
      <c r="AV28" s="87"/>
      <c r="AW28" s="80"/>
      <c r="AX28" s="48"/>
      <c r="AY28" s="87"/>
      <c r="AZ28" s="80"/>
      <c r="BB28" s="82"/>
      <c r="BD28" s="345"/>
      <c r="BE28" s="350"/>
      <c r="CB28" s="10" t="s">
        <v>152</v>
      </c>
      <c r="CE28" s="10" t="s">
        <v>152</v>
      </c>
      <c r="CG28" s="10" t="s">
        <v>152</v>
      </c>
      <c r="CH28" s="10" t="s">
        <v>152</v>
      </c>
    </row>
    <row r="29" spans="2:86" s="10" customFormat="1" ht="14.25" customHeight="1">
      <c r="B29" s="3"/>
      <c r="C29" s="179"/>
      <c r="D29" s="36"/>
      <c r="E29" s="19"/>
      <c r="F29" s="19"/>
      <c r="G29" s="19"/>
      <c r="H29" s="19"/>
      <c r="I29" s="19"/>
      <c r="J29" s="19"/>
      <c r="K29" s="228"/>
      <c r="L29" s="19"/>
      <c r="M29" s="19"/>
      <c r="N29" s="19"/>
      <c r="O29" s="19"/>
      <c r="P29" s="201"/>
      <c r="Q29" s="21"/>
      <c r="R29" s="36"/>
      <c r="S29" s="227"/>
      <c r="T29" s="181"/>
      <c r="U29" s="65"/>
      <c r="V29" s="68"/>
      <c r="W29" s="68"/>
      <c r="X29" s="60"/>
      <c r="Y29" s="60"/>
      <c r="Z29" s="304"/>
      <c r="AA29" s="135"/>
      <c r="AB29" s="288"/>
      <c r="AC29" s="36"/>
      <c r="AD29" s="19"/>
      <c r="AE29" s="159"/>
      <c r="AF29" s="159"/>
      <c r="AG29" s="19"/>
      <c r="AH29" s="19"/>
      <c r="AI29" s="19"/>
      <c r="AJ29" s="19"/>
      <c r="AK29" s="21"/>
      <c r="AL29" s="87"/>
      <c r="AM29" s="165"/>
      <c r="AN29" s="80"/>
      <c r="AO29" s="199"/>
      <c r="AP29" s="267"/>
      <c r="AQ29" s="87"/>
      <c r="AR29" s="48"/>
      <c r="AS29" s="87"/>
      <c r="AT29" s="80"/>
      <c r="AU29" s="48"/>
      <c r="AV29" s="87"/>
      <c r="AW29" s="80"/>
      <c r="AX29" s="48"/>
      <c r="AY29" s="87"/>
      <c r="AZ29" s="80"/>
      <c r="BB29" s="82"/>
      <c r="BD29" s="345"/>
      <c r="BE29" s="350"/>
      <c r="CB29" s="10" t="s">
        <v>152</v>
      </c>
      <c r="CE29" s="10" t="s">
        <v>152</v>
      </c>
      <c r="CG29" s="10" t="s">
        <v>152</v>
      </c>
      <c r="CH29" s="10" t="s">
        <v>152</v>
      </c>
    </row>
    <row r="30" spans="2:86" s="10" customFormat="1" ht="14.25" customHeight="1">
      <c r="B30" s="3"/>
      <c r="C30" s="179"/>
      <c r="D30" s="36"/>
      <c r="E30" s="19"/>
      <c r="F30" s="19"/>
      <c r="G30" s="19"/>
      <c r="H30" s="19"/>
      <c r="I30" s="19"/>
      <c r="J30" s="19"/>
      <c r="K30" s="228"/>
      <c r="L30" s="19"/>
      <c r="M30" s="19"/>
      <c r="N30" s="19"/>
      <c r="O30" s="19"/>
      <c r="P30" s="201"/>
      <c r="Q30" s="21"/>
      <c r="R30" s="36"/>
      <c r="S30" s="227"/>
      <c r="T30" s="181"/>
      <c r="U30" s="65"/>
      <c r="V30" s="68"/>
      <c r="W30" s="68"/>
      <c r="X30" s="60"/>
      <c r="Y30" s="60"/>
      <c r="Z30" s="304"/>
      <c r="AA30" s="135"/>
      <c r="AB30" s="288"/>
      <c r="AC30" s="36"/>
      <c r="AD30" s="19"/>
      <c r="AE30" s="159"/>
      <c r="AF30" s="159"/>
      <c r="AG30" s="19"/>
      <c r="AH30" s="19"/>
      <c r="AI30" s="19"/>
      <c r="AJ30" s="19"/>
      <c r="AK30" s="21"/>
      <c r="AL30" s="87"/>
      <c r="AM30" s="165"/>
      <c r="AN30" s="80"/>
      <c r="AO30" s="199"/>
      <c r="AP30" s="267"/>
      <c r="AQ30" s="87"/>
      <c r="AR30" s="48"/>
      <c r="AS30" s="87"/>
      <c r="AT30" s="80"/>
      <c r="AU30" s="48"/>
      <c r="AV30" s="87"/>
      <c r="AW30" s="80"/>
      <c r="AX30" s="48"/>
      <c r="AY30" s="87"/>
      <c r="AZ30" s="80"/>
      <c r="BB30" s="82"/>
      <c r="BD30" s="345"/>
      <c r="BE30" s="350"/>
      <c r="CB30" s="10" t="s">
        <v>152</v>
      </c>
      <c r="CE30" s="10" t="s">
        <v>152</v>
      </c>
      <c r="CG30" s="10" t="s">
        <v>152</v>
      </c>
      <c r="CH30" s="10" t="s">
        <v>152</v>
      </c>
    </row>
    <row r="31" spans="2:86" s="10" customFormat="1" ht="14.25" customHeight="1">
      <c r="B31" s="3"/>
      <c r="C31" s="179"/>
      <c r="D31" s="36"/>
      <c r="E31" s="19"/>
      <c r="F31" s="19"/>
      <c r="G31" s="19"/>
      <c r="H31" s="19"/>
      <c r="I31" s="19"/>
      <c r="J31" s="19"/>
      <c r="K31" s="228"/>
      <c r="L31" s="19"/>
      <c r="M31" s="19"/>
      <c r="N31" s="19"/>
      <c r="O31" s="19"/>
      <c r="P31" s="201"/>
      <c r="Q31" s="21"/>
      <c r="R31" s="36"/>
      <c r="S31" s="227"/>
      <c r="T31" s="181"/>
      <c r="U31" s="65"/>
      <c r="V31" s="68"/>
      <c r="W31" s="68"/>
      <c r="X31" s="60"/>
      <c r="Y31" s="60"/>
      <c r="Z31" s="304"/>
      <c r="AA31" s="135"/>
      <c r="AB31" s="288"/>
      <c r="AC31" s="36"/>
      <c r="AD31" s="19"/>
      <c r="AE31" s="159"/>
      <c r="AF31" s="159"/>
      <c r="AG31" s="19"/>
      <c r="AH31" s="19"/>
      <c r="AI31" s="19"/>
      <c r="AJ31" s="19"/>
      <c r="AK31" s="21"/>
      <c r="AL31" s="87"/>
      <c r="AM31" s="165"/>
      <c r="AN31" s="80"/>
      <c r="AO31" s="199"/>
      <c r="AP31" s="267"/>
      <c r="AQ31" s="87"/>
      <c r="AR31" s="48"/>
      <c r="AS31" s="87"/>
      <c r="AT31" s="80"/>
      <c r="AU31" s="48"/>
      <c r="AV31" s="87"/>
      <c r="AW31" s="80"/>
      <c r="AX31" s="48"/>
      <c r="AY31" s="87"/>
      <c r="AZ31" s="80"/>
      <c r="BB31" s="82"/>
      <c r="BD31" s="345"/>
      <c r="BE31" s="350"/>
      <c r="CB31" s="10" t="s">
        <v>152</v>
      </c>
      <c r="CE31" s="10" t="s">
        <v>152</v>
      </c>
      <c r="CG31" s="10" t="s">
        <v>152</v>
      </c>
      <c r="CH31" s="10" t="s">
        <v>152</v>
      </c>
    </row>
    <row r="32" spans="2:86" s="10" customFormat="1" ht="14.25" customHeight="1">
      <c r="B32" s="3"/>
      <c r="C32" s="179"/>
      <c r="D32" s="36"/>
      <c r="E32" s="19"/>
      <c r="F32" s="19"/>
      <c r="G32" s="19"/>
      <c r="H32" s="19"/>
      <c r="I32" s="19"/>
      <c r="J32" s="19"/>
      <c r="K32" s="228"/>
      <c r="L32" s="19"/>
      <c r="M32" s="19"/>
      <c r="N32" s="19"/>
      <c r="O32" s="19"/>
      <c r="P32" s="201"/>
      <c r="Q32" s="21"/>
      <c r="R32" s="36"/>
      <c r="S32" s="227"/>
      <c r="T32" s="181"/>
      <c r="U32" s="65"/>
      <c r="V32" s="68"/>
      <c r="W32" s="68"/>
      <c r="X32" s="60"/>
      <c r="Y32" s="60"/>
      <c r="Z32" s="304"/>
      <c r="AA32" s="135"/>
      <c r="AB32" s="288"/>
      <c r="AC32" s="36"/>
      <c r="AD32" s="19"/>
      <c r="AE32" s="159"/>
      <c r="AF32" s="159"/>
      <c r="AG32" s="19"/>
      <c r="AH32" s="19"/>
      <c r="AI32" s="19"/>
      <c r="AJ32" s="19"/>
      <c r="AK32" s="21"/>
      <c r="AL32" s="87"/>
      <c r="AM32" s="165"/>
      <c r="AN32" s="80"/>
      <c r="AO32" s="199"/>
      <c r="AP32" s="267"/>
      <c r="AQ32" s="87"/>
      <c r="AR32" s="48"/>
      <c r="AS32" s="87"/>
      <c r="AT32" s="80"/>
      <c r="AU32" s="48"/>
      <c r="AV32" s="87"/>
      <c r="AW32" s="80"/>
      <c r="AX32" s="48"/>
      <c r="AY32" s="87"/>
      <c r="AZ32" s="80"/>
      <c r="BB32" s="82"/>
      <c r="BD32" s="345"/>
      <c r="BE32" s="350"/>
      <c r="CB32" s="10" t="s">
        <v>152</v>
      </c>
      <c r="CE32" s="10" t="s">
        <v>152</v>
      </c>
      <c r="CG32" s="10" t="s">
        <v>152</v>
      </c>
      <c r="CH32" s="10" t="s">
        <v>152</v>
      </c>
    </row>
    <row r="33" spans="2:86" s="10" customFormat="1" ht="14.25" customHeight="1">
      <c r="B33" s="3"/>
      <c r="C33" s="179"/>
      <c r="D33" s="36"/>
      <c r="E33" s="19"/>
      <c r="F33" s="19"/>
      <c r="G33" s="19"/>
      <c r="H33" s="19"/>
      <c r="I33" s="19"/>
      <c r="J33" s="19"/>
      <c r="K33" s="228"/>
      <c r="L33" s="19"/>
      <c r="M33" s="19"/>
      <c r="N33" s="19"/>
      <c r="O33" s="19"/>
      <c r="P33" s="201"/>
      <c r="Q33" s="21"/>
      <c r="R33" s="36"/>
      <c r="S33" s="227"/>
      <c r="T33" s="181"/>
      <c r="U33" s="65"/>
      <c r="V33" s="68"/>
      <c r="W33" s="68"/>
      <c r="X33" s="60"/>
      <c r="Y33" s="60"/>
      <c r="Z33" s="304"/>
      <c r="AA33" s="135"/>
      <c r="AB33" s="288"/>
      <c r="AC33" s="36"/>
      <c r="AD33" s="19"/>
      <c r="AE33" s="159"/>
      <c r="AF33" s="159"/>
      <c r="AG33" s="19"/>
      <c r="AH33" s="19"/>
      <c r="AI33" s="19"/>
      <c r="AJ33" s="19"/>
      <c r="AK33" s="21"/>
      <c r="AL33" s="87"/>
      <c r="AM33" s="165"/>
      <c r="AN33" s="80"/>
      <c r="AO33" s="199"/>
      <c r="AP33" s="267"/>
      <c r="AQ33" s="87"/>
      <c r="AR33" s="48"/>
      <c r="AS33" s="87"/>
      <c r="AT33" s="80"/>
      <c r="AU33" s="48"/>
      <c r="AV33" s="87"/>
      <c r="AW33" s="80"/>
      <c r="AX33" s="48"/>
      <c r="AY33" s="87"/>
      <c r="AZ33" s="80"/>
      <c r="BB33" s="82"/>
      <c r="BD33" s="345"/>
      <c r="BE33" s="350"/>
      <c r="CB33" s="10" t="s">
        <v>152</v>
      </c>
      <c r="CE33" s="10" t="s">
        <v>152</v>
      </c>
      <c r="CG33" s="10" t="s">
        <v>152</v>
      </c>
      <c r="CH33" s="10" t="s">
        <v>152</v>
      </c>
    </row>
    <row r="34" spans="2:86" s="10" customFormat="1" ht="14.25" customHeight="1">
      <c r="B34" s="3"/>
      <c r="C34" s="179"/>
      <c r="D34" s="36"/>
      <c r="E34" s="19"/>
      <c r="F34" s="19"/>
      <c r="G34" s="19"/>
      <c r="H34" s="19"/>
      <c r="I34" s="19"/>
      <c r="J34" s="19"/>
      <c r="K34" s="228"/>
      <c r="L34" s="19"/>
      <c r="M34" s="19"/>
      <c r="N34" s="19"/>
      <c r="O34" s="19"/>
      <c r="P34" s="201"/>
      <c r="Q34" s="21"/>
      <c r="R34" s="36"/>
      <c r="S34" s="227"/>
      <c r="T34" s="181"/>
      <c r="U34" s="65"/>
      <c r="V34" s="68"/>
      <c r="W34" s="68"/>
      <c r="X34" s="60"/>
      <c r="Y34" s="60"/>
      <c r="Z34" s="304"/>
      <c r="AA34" s="135"/>
      <c r="AB34" s="288"/>
      <c r="AC34" s="36"/>
      <c r="AD34" s="19"/>
      <c r="AE34" s="159"/>
      <c r="AF34" s="159"/>
      <c r="AG34" s="19"/>
      <c r="AH34" s="19"/>
      <c r="AI34" s="19"/>
      <c r="AJ34" s="19"/>
      <c r="AK34" s="21"/>
      <c r="AL34" s="87"/>
      <c r="AM34" s="165"/>
      <c r="AN34" s="80"/>
      <c r="AO34" s="199"/>
      <c r="AP34" s="267"/>
      <c r="AQ34" s="87"/>
      <c r="AR34" s="48"/>
      <c r="AS34" s="87"/>
      <c r="AT34" s="80"/>
      <c r="AU34" s="48"/>
      <c r="AV34" s="87"/>
      <c r="AW34" s="80"/>
      <c r="AX34" s="48"/>
      <c r="AY34" s="87"/>
      <c r="AZ34" s="80"/>
      <c r="BB34" s="82"/>
      <c r="BD34" s="345"/>
      <c r="BE34" s="350"/>
    </row>
    <row r="35" spans="2:86">
      <c r="C35" s="32"/>
      <c r="H35" s="32"/>
      <c r="I35" s="32"/>
      <c r="J35" s="32"/>
      <c r="K35" s="32"/>
      <c r="L35" s="32"/>
      <c r="M35" s="32"/>
      <c r="N35" s="32"/>
      <c r="O35" s="32"/>
      <c r="P35"/>
      <c r="Q35" s="32"/>
      <c r="R35" s="32"/>
      <c r="S35" s="32"/>
      <c r="T35" s="32"/>
      <c r="U35" s="32"/>
      <c r="X35" s="357"/>
      <c r="Y35" s="357"/>
      <c r="Z35" s="357"/>
      <c r="BD35" s="32"/>
    </row>
    <row r="36" spans="2:86">
      <c r="C36" s="32" t="s">
        <v>36</v>
      </c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X36" s="357"/>
      <c r="Y36" s="357"/>
      <c r="Z36" s="357"/>
      <c r="BD36" s="32"/>
    </row>
    <row r="37" spans="2:86">
      <c r="C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1" t="s">
        <v>36</v>
      </c>
      <c r="X37" s="357"/>
      <c r="Y37" s="357"/>
      <c r="Z37" s="357"/>
      <c r="BD37" s="32"/>
    </row>
    <row r="38" spans="2:86" ht="13.5" customHeight="1">
      <c r="C38" s="32"/>
      <c r="H38" s="32"/>
      <c r="I38" s="32"/>
      <c r="J38" s="163"/>
      <c r="K38" s="32"/>
      <c r="L38" s="163"/>
      <c r="M38" s="30"/>
      <c r="N38" s="30"/>
      <c r="O38" s="30"/>
      <c r="P38" s="30"/>
      <c r="Q38" s="30"/>
      <c r="R38" s="30"/>
      <c r="S38" s="30"/>
      <c r="T38" s="32"/>
      <c r="U38" s="32"/>
      <c r="Y38" s="31" t="s">
        <v>108</v>
      </c>
      <c r="BD38" s="32"/>
    </row>
    <row r="39" spans="2:86">
      <c r="C39" s="32"/>
      <c r="H39" s="32"/>
      <c r="I39" s="32"/>
      <c r="J39" s="32"/>
      <c r="K39" s="32"/>
      <c r="L39" s="32"/>
      <c r="M39" s="32"/>
      <c r="N39" s="32"/>
      <c r="O39" s="32"/>
      <c r="P39" s="32"/>
      <c r="T39" s="32"/>
    </row>
    <row r="40" spans="2:86">
      <c r="C40" s="32"/>
      <c r="E40" s="32" t="s">
        <v>109</v>
      </c>
      <c r="H40" s="32"/>
      <c r="I40" s="32"/>
      <c r="J40" s="32"/>
      <c r="K40" s="32"/>
      <c r="L40" s="32"/>
      <c r="M40" s="32"/>
      <c r="N40" s="32"/>
      <c r="O40" s="32"/>
      <c r="P40" s="32"/>
      <c r="S40" s="31" t="s">
        <v>108</v>
      </c>
      <c r="T40" s="32"/>
      <c r="U40" s="32"/>
      <c r="BD40" s="32"/>
    </row>
    <row r="41" spans="2:86">
      <c r="C41" s="32"/>
      <c r="H41" s="32"/>
      <c r="I41" s="32"/>
      <c r="J41" s="357"/>
      <c r="K41" s="30"/>
      <c r="L41" s="30"/>
      <c r="M41" s="30"/>
      <c r="N41" s="30"/>
      <c r="O41" s="30"/>
      <c r="P41" s="32"/>
      <c r="T41" s="32"/>
    </row>
    <row r="42" spans="2:86">
      <c r="C42" s="32"/>
      <c r="H42" s="32"/>
      <c r="I42" s="32"/>
      <c r="K42" s="30"/>
      <c r="P42" s="32"/>
      <c r="T42" s="32"/>
    </row>
    <row r="43" spans="2:86">
      <c r="C43" s="32"/>
      <c r="H43" s="32"/>
      <c r="I43" s="32"/>
      <c r="J43" s="32"/>
      <c r="K43" s="32"/>
      <c r="L43" s="32"/>
      <c r="M43" s="32"/>
      <c r="N43" s="32"/>
      <c r="O43" s="32"/>
      <c r="P43" s="32"/>
      <c r="T43" s="32"/>
    </row>
    <row r="44" spans="2:86">
      <c r="C44" s="32"/>
      <c r="H44" s="32"/>
      <c r="N44" s="32"/>
      <c r="T44" s="32"/>
    </row>
    <row r="45" spans="2:86">
      <c r="C45" s="32"/>
      <c r="T45" s="32"/>
    </row>
    <row r="46" spans="2:86">
      <c r="C46" s="32"/>
      <c r="T46" s="32"/>
    </row>
    <row r="47" spans="2:86">
      <c r="C47" s="32"/>
      <c r="T47" s="32"/>
    </row>
    <row r="48" spans="2:86">
      <c r="C48" s="32"/>
      <c r="T48" s="32"/>
    </row>
    <row r="49" spans="3:20">
      <c r="C49" s="32"/>
      <c r="T49" s="32"/>
    </row>
    <row r="50" spans="3:20">
      <c r="C50" s="32"/>
      <c r="H50" s="32"/>
      <c r="T50" s="32"/>
    </row>
    <row r="51" spans="3:20">
      <c r="C51" s="32"/>
      <c r="T51" s="32"/>
    </row>
    <row r="52" spans="3:20">
      <c r="C52" s="32"/>
      <c r="T52" s="32"/>
    </row>
    <row r="53" spans="3:20">
      <c r="C53" s="32"/>
      <c r="T53" s="32"/>
    </row>
    <row r="54" spans="3:20">
      <c r="C54" s="32"/>
      <c r="T54" s="32"/>
    </row>
    <row r="55" spans="3:20">
      <c r="C55" s="32"/>
      <c r="T55" s="32"/>
    </row>
    <row r="279" spans="4:22">
      <c r="D279" s="32">
        <v>5.91</v>
      </c>
      <c r="F279" s="32">
        <v>3.05</v>
      </c>
      <c r="K279" s="31">
        <v>5.71</v>
      </c>
      <c r="T279" s="30">
        <v>2.0099999999999998</v>
      </c>
      <c r="V279" s="31">
        <v>0.94</v>
      </c>
    </row>
    <row r="379" spans="8:8">
      <c r="H379" s="30" t="s">
        <v>36</v>
      </c>
    </row>
  </sheetData>
  <mergeCells count="6">
    <mergeCell ref="AX9:AZ9"/>
    <mergeCell ref="C9:S9"/>
    <mergeCell ref="AL9:AN9"/>
    <mergeCell ref="AO9:AQ9"/>
    <mergeCell ref="AR9:AT9"/>
    <mergeCell ref="AU9:AW9"/>
  </mergeCells>
  <conditionalFormatting sqref="H13 H15">
    <cfRule type="cellIs" dxfId="10" priority="10" stopIfTrue="1" operator="greaterThan">
      <formula>1.2</formula>
    </cfRule>
    <cfRule type="cellIs" dxfId="9" priority="12" stopIfTrue="1" operator="greaterThan">
      <formula>1.05</formula>
    </cfRule>
  </conditionalFormatting>
  <conditionalFormatting sqref="I16 I12:I14">
    <cfRule type="cellIs" dxfId="8" priority="11" stopIfTrue="1" operator="greaterThan">
      <formula>0.35</formula>
    </cfRule>
  </conditionalFormatting>
  <conditionalFormatting sqref="H17:H34">
    <cfRule type="cellIs" dxfId="7" priority="1" stopIfTrue="1" operator="greaterThan">
      <formula>1.2</formula>
    </cfRule>
    <cfRule type="cellIs" dxfId="6" priority="2" stopIfTrue="1" operator="greaterThan">
      <formula>1.05</formula>
    </cfRule>
  </conditionalFormatting>
  <printOptions gridLines="1" gridLinesSet="0"/>
  <pageMargins left="0.19685039370078741" right="0.19685039370078741" top="0.98425196850393704" bottom="0.98425196850393704" header="0.51181102362204722" footer="0.51181102362204722"/>
  <pageSetup paperSize="9" orientation="landscape" horizontalDpi="4294967292" verticalDpi="180" r:id="rId1"/>
  <headerFooter alignWithMargins="0">
    <oddHeader>&amp;A</oddHeader>
    <oddFooter>Page &amp;P</oddFooter>
  </headerFooter>
  <colBreaks count="1" manualBreakCount="1">
    <brk id="2" min="3" max="36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4">
    <tabColor indexed="10"/>
  </sheetPr>
  <dimension ref="A1:HR279"/>
  <sheetViews>
    <sheetView tabSelected="1" zoomScaleNormal="100" workbookViewId="0">
      <pane xSplit="4" ySplit="9" topLeftCell="E10" activePane="bottomRight" state="frozen"/>
      <selection activeCell="V279" sqref="V279"/>
      <selection pane="topRight" activeCell="V279" sqref="V279"/>
      <selection pane="bottomLeft" activeCell="V279" sqref="V279"/>
      <selection pane="bottomRight" activeCell="H11" sqref="H11"/>
    </sheetView>
  </sheetViews>
  <sheetFormatPr defaultColWidth="9.140625" defaultRowHeight="12.75"/>
  <cols>
    <col min="1" max="1" width="43.7109375" style="9" bestFit="1" customWidth="1"/>
    <col min="2" max="2" width="18.7109375" style="9" customWidth="1"/>
    <col min="3" max="3" width="25" style="2" customWidth="1"/>
    <col min="4" max="4" width="20.28515625" style="2" customWidth="1"/>
    <col min="5" max="5" width="13.140625" style="30" bestFit="1" customWidth="1"/>
    <col min="6" max="6" width="8.42578125" style="30" bestFit="1" customWidth="1"/>
    <col min="7" max="7" width="13.42578125" style="32" bestFit="1" customWidth="1"/>
    <col min="8" max="8" width="14" style="32" bestFit="1" customWidth="1"/>
    <col min="9" max="9" width="10.7109375" style="32" bestFit="1" customWidth="1"/>
    <col min="10" max="10" width="14.28515625" style="32" bestFit="1" customWidth="1"/>
    <col min="11" max="11" width="14.7109375" style="30" bestFit="1" customWidth="1"/>
    <col min="12" max="12" width="7.85546875" style="30" customWidth="1"/>
    <col min="13" max="21" width="7.85546875" style="31" customWidth="1"/>
    <col min="22" max="22" width="8.5703125" style="30" customWidth="1"/>
    <col min="23" max="23" width="10.28515625" style="31" customWidth="1"/>
    <col min="24" max="25" width="8.5703125" style="84" customWidth="1"/>
    <col min="26" max="28" width="8.5703125" style="31" customWidth="1"/>
    <col min="29" max="29" width="9.7109375" style="31" customWidth="1"/>
    <col min="30" max="31" width="9" style="31" customWidth="1"/>
    <col min="32" max="32" width="10.7109375" style="31" customWidth="1"/>
    <col min="33" max="33" width="8.7109375" style="9" customWidth="1"/>
    <col min="34" max="34" width="31" style="74" bestFit="1" customWidth="1"/>
    <col min="35" max="35" width="13.28515625" style="74" bestFit="1" customWidth="1"/>
    <col min="36" max="36" width="12" style="74" bestFit="1" customWidth="1"/>
    <col min="37" max="37" width="8.7109375" style="74" customWidth="1"/>
    <col min="38" max="38" width="9.42578125" style="74" bestFit="1" customWidth="1"/>
    <col min="39" max="39" width="13.5703125" style="74" customWidth="1"/>
    <col min="40" max="41" width="11.140625" style="74" customWidth="1"/>
    <col min="42" max="42" width="10.5703125" style="74" bestFit="1" customWidth="1"/>
    <col min="43" max="44" width="9.42578125" style="74" bestFit="1" customWidth="1"/>
    <col min="45" max="45" width="12.7109375" style="74" bestFit="1" customWidth="1"/>
    <col min="46" max="46" width="10.42578125" style="74" customWidth="1"/>
    <col min="47" max="79" width="9.140625" style="9"/>
    <col min="80" max="80" width="26.28515625" style="9" bestFit="1" customWidth="1"/>
    <col min="81" max="81" width="9.140625" style="9"/>
    <col min="82" max="83" width="26.28515625" style="9" bestFit="1" customWidth="1"/>
    <col min="84" max="84" width="9.140625" style="9"/>
    <col min="85" max="90" width="26.28515625" style="9" bestFit="1" customWidth="1"/>
    <col min="91" max="16384" width="9.140625" style="9"/>
  </cols>
  <sheetData>
    <row r="1" spans="1:226" ht="36" customHeight="1">
      <c r="B1" s="9" t="s">
        <v>150</v>
      </c>
      <c r="C1" s="2" t="s">
        <v>144</v>
      </c>
      <c r="D1" s="2" t="s">
        <v>143</v>
      </c>
      <c r="E1" s="30" t="s">
        <v>153</v>
      </c>
      <c r="F1" s="30" t="s">
        <v>145</v>
      </c>
      <c r="G1" s="32" t="s">
        <v>145</v>
      </c>
      <c r="H1" s="32" t="s">
        <v>146</v>
      </c>
      <c r="I1" s="32" t="s">
        <v>145</v>
      </c>
      <c r="J1" s="32" t="s">
        <v>147</v>
      </c>
      <c r="K1" s="30" t="s">
        <v>155</v>
      </c>
    </row>
    <row r="2" spans="1:226" s="10" customFormat="1">
      <c r="A2" s="72" t="s">
        <v>122</v>
      </c>
      <c r="B2" s="72"/>
      <c r="C2" s="72"/>
      <c r="D2" s="408" t="s">
        <v>117</v>
      </c>
      <c r="E2" s="409">
        <f>COUNTIF(E10:E33,"&gt;0")</f>
        <v>22</v>
      </c>
      <c r="F2" s="409"/>
      <c r="G2" s="409">
        <f>COUNTIF(G10:G33,"&gt;0")</f>
        <v>4</v>
      </c>
      <c r="H2" s="409">
        <f t="shared" ref="H2:P2" si="0">COUNTIF(H10:H33,"&gt;0")</f>
        <v>13</v>
      </c>
      <c r="I2" s="409">
        <f t="shared" si="0"/>
        <v>1</v>
      </c>
      <c r="J2" s="409">
        <f t="shared" si="0"/>
        <v>16</v>
      </c>
      <c r="K2" s="409">
        <f t="shared" si="0"/>
        <v>15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6</v>
      </c>
      <c r="P2" s="409">
        <f t="shared" si="0"/>
        <v>0</v>
      </c>
      <c r="Q2" s="409">
        <f>COUNTIF(Q10:Q33,"&gt;0")</f>
        <v>0</v>
      </c>
      <c r="R2" s="409">
        <f>COUNTIF(R10:R33,"&gt;0")</f>
        <v>0</v>
      </c>
      <c r="S2" s="409">
        <f>COUNTIF(S10:S33,"&gt;0")</f>
        <v>0</v>
      </c>
      <c r="T2" s="409">
        <f>COUNTIF(T10:T33,"&gt;0")</f>
        <v>0</v>
      </c>
      <c r="U2" s="409">
        <f>COUNTIF(U10:U33,"&gt;0")</f>
        <v>0</v>
      </c>
      <c r="V2" s="409">
        <f t="shared" ref="V2:AC2" si="1">COUNTIF(V10:V33,"&gt;0")</f>
        <v>0</v>
      </c>
      <c r="W2" s="409">
        <f t="shared" si="1"/>
        <v>0</v>
      </c>
      <c r="X2" s="409">
        <f t="shared" si="1"/>
        <v>3</v>
      </c>
      <c r="Y2" s="409">
        <f t="shared" si="1"/>
        <v>1</v>
      </c>
      <c r="Z2" s="409">
        <f t="shared" si="1"/>
        <v>12</v>
      </c>
      <c r="AA2" s="409">
        <f t="shared" si="1"/>
        <v>12</v>
      </c>
      <c r="AB2" s="409">
        <f t="shared" si="1"/>
        <v>24</v>
      </c>
      <c r="AC2" s="409">
        <f t="shared" si="1"/>
        <v>0</v>
      </c>
      <c r="AD2" s="409">
        <f>COUNTIF(AD10:AD33,"&gt;0")</f>
        <v>0</v>
      </c>
      <c r="AE2" s="409">
        <f>COUNTIF(AE10:AE33,"&gt;0")</f>
        <v>0</v>
      </c>
      <c r="AF2" s="409">
        <f>COUNTIF(AF10:AF33,"&gt;0")</f>
        <v>0</v>
      </c>
      <c r="AH2" s="94"/>
      <c r="AI2" s="94"/>
      <c r="AJ2" s="94"/>
      <c r="AK2" s="94"/>
      <c r="AL2" s="409">
        <f t="shared" ref="AL2:AT2" si="2">COUNTIF(AL10:AL33,"&gt;0")</f>
        <v>0</v>
      </c>
      <c r="AM2" s="409">
        <f t="shared" si="2"/>
        <v>0</v>
      </c>
      <c r="AN2" s="409">
        <f t="shared" si="2"/>
        <v>0</v>
      </c>
      <c r="AO2" s="409">
        <f t="shared" si="2"/>
        <v>0</v>
      </c>
      <c r="AP2" s="409">
        <f t="shared" si="2"/>
        <v>0</v>
      </c>
      <c r="AQ2" s="409">
        <f t="shared" si="2"/>
        <v>0</v>
      </c>
      <c r="AR2" s="409">
        <f t="shared" si="2"/>
        <v>0</v>
      </c>
      <c r="AS2" s="409">
        <f t="shared" si="2"/>
        <v>0</v>
      </c>
      <c r="AT2" s="409">
        <f t="shared" si="2"/>
        <v>0</v>
      </c>
    </row>
    <row r="3" spans="1:226" s="10" customFormat="1" ht="13.5" thickBot="1">
      <c r="A3" s="291" t="s">
        <v>126</v>
      </c>
      <c r="B3" s="291"/>
      <c r="C3" s="72"/>
      <c r="D3" s="411" t="s">
        <v>118</v>
      </c>
      <c r="E3" s="409">
        <f>STDEV(E10:E33)</f>
        <v>2567.9097173003443</v>
      </c>
      <c r="F3" s="409"/>
      <c r="G3" s="409">
        <f>STDEV(G10:G33)</f>
        <v>0.74386378681404586</v>
      </c>
      <c r="H3" s="409">
        <f t="shared" ref="H3:P3" si="3">STDEV(H10:H33)</f>
        <v>210.80865549300682</v>
      </c>
      <c r="I3" s="409" t="e">
        <f t="shared" si="3"/>
        <v>#DIV/0!</v>
      </c>
      <c r="J3" s="409">
        <f t="shared" si="3"/>
        <v>13.250885190557394</v>
      </c>
      <c r="K3" s="409">
        <f t="shared" si="3"/>
        <v>2.3744673588186549</v>
      </c>
      <c r="L3" s="409" t="e">
        <f t="shared" si="3"/>
        <v>#DIV/0!</v>
      </c>
      <c r="M3" s="409" t="e">
        <f t="shared" si="3"/>
        <v>#DIV/0!</v>
      </c>
      <c r="N3" s="409" t="e">
        <f t="shared" si="3"/>
        <v>#DIV/0!</v>
      </c>
      <c r="O3" s="409">
        <f t="shared" si="3"/>
        <v>1.8708286933869707</v>
      </c>
      <c r="P3" s="409" t="e">
        <f t="shared" si="3"/>
        <v>#DIV/0!</v>
      </c>
      <c r="Q3" s="409" t="e">
        <f>STDEV(Q10:Q33)</f>
        <v>#DIV/0!</v>
      </c>
      <c r="R3" s="409" t="e">
        <f>STDEV(R10:R33)</f>
        <v>#DIV/0!</v>
      </c>
      <c r="S3" s="409" t="e">
        <f>STDEV(S10:S33)</f>
        <v>#DIV/0!</v>
      </c>
      <c r="T3" s="409" t="e">
        <f>STDEV(T10:T33)</f>
        <v>#DIV/0!</v>
      </c>
      <c r="U3" s="409" t="e">
        <f>STDEV(U10:U33)</f>
        <v>#DIV/0!</v>
      </c>
      <c r="V3" s="409" t="e">
        <f t="shared" ref="V3:AC3" si="4">STDEV(V10:V33)</f>
        <v>#REF!</v>
      </c>
      <c r="W3" s="409" t="e">
        <f t="shared" si="4"/>
        <v>#REF!</v>
      </c>
      <c r="X3" s="409" t="e">
        <f t="shared" si="4"/>
        <v>#DIV/0!</v>
      </c>
      <c r="Y3" s="409" t="e">
        <f t="shared" si="4"/>
        <v>#DIV/0!</v>
      </c>
      <c r="Z3" s="409" t="e">
        <f t="shared" si="4"/>
        <v>#DIV/0!</v>
      </c>
      <c r="AA3" s="409">
        <f t="shared" si="4"/>
        <v>351.71240338378664</v>
      </c>
      <c r="AB3" s="409">
        <f t="shared" si="4"/>
        <v>0</v>
      </c>
      <c r="AC3" s="409" t="e">
        <f t="shared" si="4"/>
        <v>#REF!</v>
      </c>
      <c r="AD3" s="409" t="e">
        <f>STDEV(AD10:AD33)</f>
        <v>#DIV/0!</v>
      </c>
      <c r="AE3" s="409" t="e">
        <f>STDEV(AE10:AE33)</f>
        <v>#DIV/0!</v>
      </c>
      <c r="AF3" s="409" t="e">
        <f>STDEV(AF10:AF33)</f>
        <v>#DIV/0!</v>
      </c>
      <c r="AH3" s="94"/>
      <c r="AI3" s="94"/>
      <c r="AJ3" s="94"/>
      <c r="AK3" s="94"/>
      <c r="AL3" s="409" t="e">
        <f t="shared" ref="AL3:AT3" si="5">STDEV(AL10:AL33)</f>
        <v>#DIV/0!</v>
      </c>
      <c r="AM3" s="409" t="e">
        <f t="shared" si="5"/>
        <v>#DIV/0!</v>
      </c>
      <c r="AN3" s="409" t="e">
        <f t="shared" si="5"/>
        <v>#DIV/0!</v>
      </c>
      <c r="AO3" s="409" t="e">
        <f t="shared" si="5"/>
        <v>#DIV/0!</v>
      </c>
      <c r="AP3" s="409" t="e">
        <f t="shared" si="5"/>
        <v>#DIV/0!</v>
      </c>
      <c r="AQ3" s="409" t="e">
        <f t="shared" si="5"/>
        <v>#DIV/0!</v>
      </c>
      <c r="AR3" s="409" t="e">
        <f t="shared" si="5"/>
        <v>#DIV/0!</v>
      </c>
      <c r="AS3" s="409" t="e">
        <f t="shared" si="5"/>
        <v>#DIV/0!</v>
      </c>
      <c r="AT3" s="409" t="e">
        <f t="shared" si="5"/>
        <v>#DIV/0!</v>
      </c>
    </row>
    <row r="4" spans="1:226" s="10" customFormat="1">
      <c r="A4" s="395" t="s">
        <v>35</v>
      </c>
      <c r="B4" s="395"/>
      <c r="C4" s="396">
        <v>43743</v>
      </c>
      <c r="D4" s="411" t="s">
        <v>119</v>
      </c>
      <c r="E4" s="409">
        <f>AVERAGE(E10:E33)</f>
        <v>576.95652173913038</v>
      </c>
      <c r="F4" s="409"/>
      <c r="G4" s="409">
        <f>AVERAGE(G10:G33)</f>
        <v>4.4000000000000004</v>
      </c>
      <c r="H4" s="409">
        <f t="shared" ref="H4:P4" si="6">AVERAGE(H10:H33)</f>
        <v>71.961538461538467</v>
      </c>
      <c r="I4" s="409">
        <f t="shared" si="6"/>
        <v>5</v>
      </c>
      <c r="J4" s="409">
        <f t="shared" si="6"/>
        <v>7.9937500000000004</v>
      </c>
      <c r="K4" s="409">
        <f t="shared" si="6"/>
        <v>5.2666666666666666</v>
      </c>
      <c r="L4" s="409" t="e">
        <f t="shared" si="6"/>
        <v>#DIV/0!</v>
      </c>
      <c r="M4" s="409" t="e">
        <f t="shared" si="6"/>
        <v>#DIV/0!</v>
      </c>
      <c r="N4" s="409" t="e">
        <f t="shared" si="6"/>
        <v>#DIV/0!</v>
      </c>
      <c r="O4" s="409">
        <f t="shared" si="6"/>
        <v>3.5</v>
      </c>
      <c r="P4" s="409" t="e">
        <f t="shared" si="6"/>
        <v>#DIV/0!</v>
      </c>
      <c r="Q4" s="409" t="e">
        <f>AVERAGE(Q10:Q33)</f>
        <v>#DIV/0!</v>
      </c>
      <c r="R4" s="409" t="e">
        <f>AVERAGE(R10:R33)</f>
        <v>#DIV/0!</v>
      </c>
      <c r="S4" s="409" t="e">
        <f>AVERAGE(S10:S33)</f>
        <v>#DIV/0!</v>
      </c>
      <c r="T4" s="409" t="e">
        <f>AVERAGE(T10:T33)</f>
        <v>#DIV/0!</v>
      </c>
      <c r="U4" s="409" t="e">
        <f>AVERAGE(U10:U33)</f>
        <v>#DIV/0!</v>
      </c>
      <c r="V4" s="409" t="e">
        <f t="shared" ref="V4:AC4" si="7">AVERAGE(V10:V33)</f>
        <v>#REF!</v>
      </c>
      <c r="W4" s="409" t="e">
        <f t="shared" si="7"/>
        <v>#REF!</v>
      </c>
      <c r="X4" s="409" t="e">
        <f t="shared" si="7"/>
        <v>#DIV/0!</v>
      </c>
      <c r="Y4" s="409">
        <f t="shared" si="7"/>
        <v>1.56</v>
      </c>
      <c r="Z4" s="409" t="e">
        <f t="shared" si="7"/>
        <v>#DIV/0!</v>
      </c>
      <c r="AA4" s="409">
        <f t="shared" si="7"/>
        <v>195.35307427278477</v>
      </c>
      <c r="AB4" s="409">
        <f t="shared" si="7"/>
        <v>70</v>
      </c>
      <c r="AC4" s="409" t="e">
        <f t="shared" si="7"/>
        <v>#REF!</v>
      </c>
      <c r="AD4" s="409" t="e">
        <f>AVERAGE(AD10:AD33)</f>
        <v>#DIV/0!</v>
      </c>
      <c r="AE4" s="409" t="e">
        <f>AVERAGE(AE10:AE33)</f>
        <v>#DIV/0!</v>
      </c>
      <c r="AF4" s="409" t="e">
        <f>AVERAGE(AF10:AF33)</f>
        <v>#DIV/0!</v>
      </c>
      <c r="AH4" s="94"/>
      <c r="AI4" s="94"/>
      <c r="AJ4" s="94"/>
      <c r="AK4" s="94"/>
      <c r="AL4" s="409" t="e">
        <f t="shared" ref="AL4:AT4" si="8">AVERAGE(AL10:AL33)</f>
        <v>#DIV/0!</v>
      </c>
      <c r="AM4" s="409" t="e">
        <f t="shared" si="8"/>
        <v>#DIV/0!</v>
      </c>
      <c r="AN4" s="409" t="e">
        <f t="shared" si="8"/>
        <v>#DIV/0!</v>
      </c>
      <c r="AO4" s="409" t="e">
        <f t="shared" si="8"/>
        <v>#DIV/0!</v>
      </c>
      <c r="AP4" s="409" t="e">
        <f t="shared" si="8"/>
        <v>#DIV/0!</v>
      </c>
      <c r="AQ4" s="409" t="e">
        <f t="shared" si="8"/>
        <v>#DIV/0!</v>
      </c>
      <c r="AR4" s="409" t="e">
        <f t="shared" si="8"/>
        <v>#DIV/0!</v>
      </c>
      <c r="AS4" s="409" t="e">
        <f t="shared" si="8"/>
        <v>#DIV/0!</v>
      </c>
      <c r="AT4" s="409" t="e">
        <f t="shared" si="8"/>
        <v>#DIV/0!</v>
      </c>
      <c r="AW4"/>
    </row>
    <row r="5" spans="1:226" s="10" customFormat="1">
      <c r="A5" s="394" t="s">
        <v>148</v>
      </c>
      <c r="B5" s="394" t="s">
        <v>149</v>
      </c>
      <c r="C5" s="397"/>
      <c r="D5" s="422" t="s">
        <v>120</v>
      </c>
      <c r="E5" s="409">
        <f>MIN(E10:E33)</f>
        <v>0</v>
      </c>
      <c r="F5" s="409"/>
      <c r="G5" s="409">
        <f>MIN(G10:G33)</f>
        <v>3.7</v>
      </c>
      <c r="H5" s="409">
        <f t="shared" ref="H5:P5" si="9">MIN(H10:H33)</f>
        <v>1</v>
      </c>
      <c r="I5" s="409">
        <f t="shared" si="9"/>
        <v>5</v>
      </c>
      <c r="J5" s="409">
        <f t="shared" si="9"/>
        <v>1</v>
      </c>
      <c r="K5" s="409">
        <f t="shared" si="9"/>
        <v>1</v>
      </c>
      <c r="L5" s="409">
        <f t="shared" si="9"/>
        <v>0</v>
      </c>
      <c r="M5" s="409">
        <f t="shared" si="9"/>
        <v>0</v>
      </c>
      <c r="N5" s="409">
        <f t="shared" si="9"/>
        <v>0</v>
      </c>
      <c r="O5" s="409">
        <f t="shared" si="9"/>
        <v>1</v>
      </c>
      <c r="P5" s="409">
        <f t="shared" si="9"/>
        <v>0</v>
      </c>
      <c r="Q5" s="409">
        <f>MIN(Q10:Q33)</f>
        <v>0</v>
      </c>
      <c r="R5" s="409">
        <f>MIN(R10:R33)</f>
        <v>0</v>
      </c>
      <c r="S5" s="409">
        <f>MIN(S10:S33)</f>
        <v>0</v>
      </c>
      <c r="T5" s="409">
        <f>MIN(T10:T33)</f>
        <v>0</v>
      </c>
      <c r="U5" s="409">
        <f>MIN(U10:U33)</f>
        <v>0</v>
      </c>
      <c r="V5" s="409" t="e">
        <f t="shared" ref="V5:AC5" si="10">MIN(V10:V33)</f>
        <v>#REF!</v>
      </c>
      <c r="W5" s="409" t="e">
        <f t="shared" si="10"/>
        <v>#REF!</v>
      </c>
      <c r="X5" s="409" t="e">
        <f t="shared" si="10"/>
        <v>#DIV/0!</v>
      </c>
      <c r="Y5" s="409">
        <f t="shared" si="10"/>
        <v>1.56</v>
      </c>
      <c r="Z5" s="409" t="e">
        <f t="shared" si="10"/>
        <v>#DIV/0!</v>
      </c>
      <c r="AA5" s="409">
        <f t="shared" si="10"/>
        <v>0</v>
      </c>
      <c r="AB5" s="409">
        <f t="shared" si="10"/>
        <v>70</v>
      </c>
      <c r="AC5" s="409" t="e">
        <f t="shared" si="10"/>
        <v>#REF!</v>
      </c>
      <c r="AD5" s="409">
        <f>MIN(AD10:AD33)</f>
        <v>0</v>
      </c>
      <c r="AE5" s="409">
        <f>MIN(AE10:AE33)</f>
        <v>0</v>
      </c>
      <c r="AF5" s="409">
        <f>MIN(AF10:AF33)</f>
        <v>0</v>
      </c>
      <c r="AH5" s="94"/>
      <c r="AI5" s="94"/>
      <c r="AJ5" s="94"/>
      <c r="AK5" s="94"/>
      <c r="AL5" s="409">
        <f t="shared" ref="AL5:AT5" si="11">MIN(AL10:AL33)</f>
        <v>0</v>
      </c>
      <c r="AM5" s="409">
        <f t="shared" si="11"/>
        <v>0</v>
      </c>
      <c r="AN5" s="409">
        <f t="shared" si="11"/>
        <v>0</v>
      </c>
      <c r="AO5" s="409">
        <f t="shared" si="11"/>
        <v>0</v>
      </c>
      <c r="AP5" s="409">
        <f t="shared" si="11"/>
        <v>0</v>
      </c>
      <c r="AQ5" s="409">
        <f t="shared" si="11"/>
        <v>0</v>
      </c>
      <c r="AR5" s="409">
        <f t="shared" si="11"/>
        <v>0</v>
      </c>
      <c r="AS5" s="409">
        <f t="shared" si="11"/>
        <v>0</v>
      </c>
      <c r="AT5" s="409">
        <f t="shared" si="11"/>
        <v>0</v>
      </c>
    </row>
    <row r="6" spans="1:226" s="10" customFormat="1" ht="13.5" thickBot="1">
      <c r="A6" s="394"/>
      <c r="B6" s="394"/>
      <c r="C6" s="397"/>
      <c r="D6" s="422" t="s">
        <v>121</v>
      </c>
      <c r="E6" s="409">
        <f>MAX(E10:E33)</f>
        <v>12345</v>
      </c>
      <c r="F6" s="409"/>
      <c r="G6" s="409">
        <f>MAX(G10:G33)</f>
        <v>5.4</v>
      </c>
      <c r="H6" s="409">
        <f t="shared" ref="H6:P6" si="12">MAX(H10:H33)</f>
        <v>765</v>
      </c>
      <c r="I6" s="409">
        <f t="shared" si="12"/>
        <v>5</v>
      </c>
      <c r="J6" s="409">
        <f t="shared" si="12"/>
        <v>56</v>
      </c>
      <c r="K6" s="409">
        <f t="shared" si="12"/>
        <v>9</v>
      </c>
      <c r="L6" s="409">
        <f t="shared" si="12"/>
        <v>0</v>
      </c>
      <c r="M6" s="409">
        <f t="shared" si="12"/>
        <v>0</v>
      </c>
      <c r="N6" s="409">
        <f t="shared" si="12"/>
        <v>0</v>
      </c>
      <c r="O6" s="409">
        <f t="shared" si="12"/>
        <v>6</v>
      </c>
      <c r="P6" s="409">
        <f t="shared" si="12"/>
        <v>0</v>
      </c>
      <c r="Q6" s="409">
        <f>MAX(Q10:Q33)</f>
        <v>0</v>
      </c>
      <c r="R6" s="409">
        <f>MAX(R10:R33)</f>
        <v>0</v>
      </c>
      <c r="S6" s="409">
        <f>MAX(S10:S33)</f>
        <v>0</v>
      </c>
      <c r="T6" s="409">
        <f>MAX(T10:T33)</f>
        <v>0</v>
      </c>
      <c r="U6" s="409">
        <f>MAX(U10:U33)</f>
        <v>0</v>
      </c>
      <c r="V6" s="409" t="e">
        <f t="shared" ref="V6:AC6" si="13">MAX(V10:V33)</f>
        <v>#REF!</v>
      </c>
      <c r="W6" s="409" t="e">
        <f t="shared" si="13"/>
        <v>#REF!</v>
      </c>
      <c r="X6" s="409" t="e">
        <f t="shared" si="13"/>
        <v>#DIV/0!</v>
      </c>
      <c r="Y6" s="409">
        <f t="shared" si="13"/>
        <v>1.56</v>
      </c>
      <c r="Z6" s="409" t="e">
        <f t="shared" si="13"/>
        <v>#DIV/0!</v>
      </c>
      <c r="AA6" s="409">
        <f t="shared" si="13"/>
        <v>1271.1864406779662</v>
      </c>
      <c r="AB6" s="409">
        <f t="shared" si="13"/>
        <v>70</v>
      </c>
      <c r="AC6" s="409" t="e">
        <f t="shared" si="13"/>
        <v>#REF!</v>
      </c>
      <c r="AD6" s="409">
        <f>MAX(AD10:AD33)</f>
        <v>0</v>
      </c>
      <c r="AE6" s="409">
        <f>MAX(AE10:AE33)</f>
        <v>0</v>
      </c>
      <c r="AF6" s="409">
        <f>MAX(AF10:AF33)</f>
        <v>0</v>
      </c>
      <c r="AH6" s="94"/>
      <c r="AI6" s="94"/>
      <c r="AJ6" s="94"/>
      <c r="AK6" s="94"/>
      <c r="AL6" s="409">
        <f t="shared" ref="AL6:AT6" si="14">MAX(AL10:AL33)</f>
        <v>0</v>
      </c>
      <c r="AM6" s="409">
        <f t="shared" si="14"/>
        <v>0</v>
      </c>
      <c r="AN6" s="409">
        <f t="shared" si="14"/>
        <v>0</v>
      </c>
      <c r="AO6" s="409">
        <f t="shared" si="14"/>
        <v>0</v>
      </c>
      <c r="AP6" s="409">
        <f t="shared" si="14"/>
        <v>0</v>
      </c>
      <c r="AQ6" s="409">
        <f t="shared" si="14"/>
        <v>0</v>
      </c>
      <c r="AR6" s="409">
        <f t="shared" si="14"/>
        <v>0</v>
      </c>
      <c r="AS6" s="409">
        <f t="shared" si="14"/>
        <v>0</v>
      </c>
      <c r="AT6" s="409">
        <f t="shared" si="14"/>
        <v>0</v>
      </c>
    </row>
    <row r="7" spans="1:226" s="10" customFormat="1" ht="49.15" customHeight="1" thickBot="1">
      <c r="C7" s="222"/>
      <c r="D7" s="222"/>
      <c r="X7" s="438" t="s">
        <v>104</v>
      </c>
      <c r="Y7" s="439"/>
      <c r="AB7" s="74"/>
      <c r="AH7" s="94"/>
      <c r="AI7" s="94"/>
      <c r="AJ7" s="94"/>
      <c r="AK7" s="94"/>
      <c r="AL7" s="92" t="s">
        <v>68</v>
      </c>
      <c r="AM7" s="89" t="s">
        <v>69</v>
      </c>
      <c r="AN7" s="92" t="s">
        <v>70</v>
      </c>
      <c r="AO7" s="89"/>
      <c r="AP7" s="89"/>
      <c r="AQ7" s="89"/>
      <c r="AR7" s="151"/>
      <c r="AS7" s="152"/>
      <c r="AT7" s="151" t="s">
        <v>59</v>
      </c>
    </row>
    <row r="8" spans="1:226" s="10" customFormat="1" ht="27" customHeight="1" thickBot="1">
      <c r="C8" s="220"/>
      <c r="D8" s="221"/>
      <c r="E8" s="436" t="s">
        <v>29</v>
      </c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7"/>
      <c r="X8" s="302">
        <v>2.4500000000000002</v>
      </c>
      <c r="Y8" s="356">
        <v>1.5</v>
      </c>
      <c r="AD8" s="432" t="s">
        <v>33</v>
      </c>
      <c r="AE8" s="434"/>
      <c r="AH8" s="103" t="s">
        <v>45</v>
      </c>
      <c r="AI8" s="104" t="s">
        <v>46</v>
      </c>
      <c r="AJ8" s="104" t="s">
        <v>47</v>
      </c>
      <c r="AK8" s="104" t="s">
        <v>48</v>
      </c>
      <c r="AL8" s="104" t="s">
        <v>61</v>
      </c>
      <c r="AM8" s="104" t="s">
        <v>62</v>
      </c>
      <c r="AN8" s="104" t="s">
        <v>56</v>
      </c>
      <c r="AO8" s="104" t="s">
        <v>63</v>
      </c>
      <c r="AP8" s="104" t="s">
        <v>64</v>
      </c>
      <c r="AQ8" s="104" t="s">
        <v>65</v>
      </c>
      <c r="AR8" s="104" t="s">
        <v>66</v>
      </c>
      <c r="AS8" s="104" t="s">
        <v>67</v>
      </c>
      <c r="AT8" s="105" t="s">
        <v>52</v>
      </c>
    </row>
    <row r="9" spans="1:226" s="29" customFormat="1" ht="31.5" customHeight="1" thickTop="1" thickBot="1">
      <c r="C9" s="170" t="s">
        <v>0</v>
      </c>
      <c r="D9" s="170" t="s">
        <v>1</v>
      </c>
      <c r="E9" s="50" t="s">
        <v>132</v>
      </c>
      <c r="F9" s="50" t="s">
        <v>133</v>
      </c>
      <c r="G9" s="237" t="s">
        <v>12</v>
      </c>
      <c r="H9" s="238" t="s">
        <v>93</v>
      </c>
      <c r="I9" s="39" t="s">
        <v>14</v>
      </c>
      <c r="J9" s="112" t="s">
        <v>8</v>
      </c>
      <c r="K9" s="39" t="s">
        <v>9</v>
      </c>
      <c r="L9" s="39" t="s">
        <v>15</v>
      </c>
      <c r="M9" s="39" t="s">
        <v>16</v>
      </c>
      <c r="N9" s="39" t="s">
        <v>27</v>
      </c>
      <c r="O9" s="39" t="s">
        <v>72</v>
      </c>
      <c r="P9" s="39" t="s">
        <v>73</v>
      </c>
      <c r="Q9" s="39" t="s">
        <v>74</v>
      </c>
      <c r="R9" s="39" t="s">
        <v>75</v>
      </c>
      <c r="S9" s="39" t="s">
        <v>76</v>
      </c>
      <c r="T9" s="39" t="s">
        <v>77</v>
      </c>
      <c r="U9" s="41" t="s">
        <v>81</v>
      </c>
      <c r="V9" s="58" t="s">
        <v>34</v>
      </c>
      <c r="W9" s="67" t="s">
        <v>37</v>
      </c>
      <c r="X9" s="51" t="s">
        <v>2</v>
      </c>
      <c r="Y9" s="51" t="s">
        <v>3</v>
      </c>
      <c r="Z9" s="51" t="s">
        <v>4</v>
      </c>
      <c r="AA9" s="51" t="s">
        <v>5</v>
      </c>
      <c r="AB9" s="303" t="s">
        <v>106</v>
      </c>
      <c r="AC9" s="61" t="s">
        <v>124</v>
      </c>
      <c r="AD9" s="27" t="s">
        <v>100</v>
      </c>
      <c r="AE9" s="28" t="s">
        <v>101</v>
      </c>
      <c r="AF9" s="44" t="s">
        <v>6</v>
      </c>
      <c r="AH9" s="103"/>
      <c r="AI9" s="104"/>
      <c r="AJ9" s="105"/>
      <c r="AK9" s="172"/>
      <c r="AL9" s="173"/>
      <c r="AM9" s="174"/>
      <c r="AN9" s="174"/>
      <c r="AO9" s="174"/>
      <c r="AP9" s="174"/>
      <c r="AQ9" s="174"/>
      <c r="AR9" s="174"/>
      <c r="AS9" s="174"/>
      <c r="AT9" s="175"/>
    </row>
    <row r="10" spans="1:226" s="10" customFormat="1" ht="13.5" customHeight="1">
      <c r="C10" s="3">
        <f>C4</f>
        <v>43743</v>
      </c>
      <c r="D10" s="423">
        <v>0</v>
      </c>
      <c r="E10" s="52">
        <v>2</v>
      </c>
      <c r="F10" s="382"/>
      <c r="G10" s="35">
        <v>5.4</v>
      </c>
      <c r="H10" s="13">
        <v>5</v>
      </c>
      <c r="I10" s="69"/>
      <c r="J10" s="69">
        <v>4.5</v>
      </c>
      <c r="K10" s="13">
        <v>3</v>
      </c>
      <c r="L10" s="13"/>
      <c r="M10" s="13"/>
      <c r="N10" s="13"/>
      <c r="O10" s="13">
        <v>1</v>
      </c>
      <c r="P10" s="198"/>
      <c r="Q10" s="56"/>
      <c r="R10" s="56"/>
      <c r="S10" s="56"/>
      <c r="T10" s="56"/>
      <c r="U10" s="198"/>
      <c r="V10" s="52" t="e">
        <f>IF((G10+H10+I10+J10+K10+L10+M10+N10+O10+P10+Q10+R10+S10+T10+U10)&lt;&gt;0,(#REF!+G10+H10+I10+J10+K10+L10+M10+N10+O10+P10+Q10+R10+S10+T10+U10),"")</f>
        <v>#REF!</v>
      </c>
      <c r="W10" s="65" t="e">
        <f>IF((G10+H10+I10+J10)&lt;&gt;0,(4.07*J10-7.6*G10-6.72*H10-1.43*I10)*100/(100-#REF!),"")</f>
        <v>#REF!</v>
      </c>
      <c r="X10" s="136">
        <f t="shared" ref="X10:X33" si="15">IF((G10+H10+I10+J10)&lt;&gt;0,G10/(I10+H10),"")</f>
        <v>1.08</v>
      </c>
      <c r="Y10" s="136" t="str">
        <f t="shared" ref="Y10:Y33" si="16">IF(I10&lt;&gt;0,H10/I10,"")</f>
        <v/>
      </c>
      <c r="Z10" s="60">
        <f t="shared" ref="Z10:Z33" si="17">IF((G10+H10+I10+J10)&lt;&gt;0,J10/(G10+H10+I10),"")</f>
        <v>0.43269230769230765</v>
      </c>
      <c r="AA10" s="60">
        <f t="shared" ref="AA10:AA33" si="18">IF((2.8*G10+1.18*H10+0.65*I10)&lt;&gt;0,100*J10/(2.8*G10+1.18*H10+0.65*I10),"")</f>
        <v>21.408182683158898</v>
      </c>
      <c r="AB10" s="305">
        <v>70</v>
      </c>
      <c r="AC10" s="171" t="e">
        <f t="shared" ref="AC10:AC33" si="19">IF(G10="","",(W10-AB10)^2)</f>
        <v>#REF!</v>
      </c>
      <c r="AD10" s="11"/>
      <c r="AE10" s="12"/>
      <c r="AF10" s="45"/>
      <c r="AH10" s="115"/>
      <c r="AI10" s="126"/>
      <c r="AJ10" s="124"/>
      <c r="AK10" s="110"/>
      <c r="AL10" s="125"/>
      <c r="AM10" s="106"/>
      <c r="AN10" s="106"/>
      <c r="AO10" s="106"/>
      <c r="AP10" s="106"/>
      <c r="AQ10" s="106"/>
      <c r="AR10" s="106"/>
      <c r="AS10" s="106"/>
      <c r="AT10" s="107"/>
      <c r="CB10" s="10" t="s">
        <v>154</v>
      </c>
      <c r="CE10" s="10" t="s">
        <v>154</v>
      </c>
      <c r="CG10" s="10" t="s">
        <v>154</v>
      </c>
      <c r="CH10" s="10" t="s">
        <v>152</v>
      </c>
      <c r="CJ10" s="10" t="s">
        <v>154</v>
      </c>
      <c r="HQ10" s="10" t="s">
        <v>151</v>
      </c>
      <c r="HR10" s="10" t="s">
        <v>151</v>
      </c>
    </row>
    <row r="11" spans="1:226" s="10" customFormat="1" ht="13.5" customHeight="1">
      <c r="C11" s="3">
        <f t="shared" ref="C11:C33" si="20">C10</f>
        <v>43743</v>
      </c>
      <c r="D11" s="423">
        <v>4.1666666666666664E-2</v>
      </c>
      <c r="E11" s="52">
        <v>3</v>
      </c>
      <c r="F11" s="52"/>
      <c r="G11" s="36">
        <v>4.5</v>
      </c>
      <c r="H11" s="201">
        <v>4.5</v>
      </c>
      <c r="I11" s="201"/>
      <c r="J11" s="201">
        <v>4.5</v>
      </c>
      <c r="K11" s="201">
        <v>4</v>
      </c>
      <c r="L11" s="201"/>
      <c r="M11" s="201"/>
      <c r="N11" s="201"/>
      <c r="O11" s="208">
        <v>2</v>
      </c>
      <c r="P11" s="208"/>
      <c r="Q11" s="208"/>
      <c r="R11" s="208"/>
      <c r="S11" s="208"/>
      <c r="T11" s="208"/>
      <c r="U11" s="56"/>
      <c r="V11" s="52" t="e">
        <f>IF((G11+H11+I11+J11+K11+L11+M11+N11+O11+P11+Q11+R11+S11+T11+U11)&lt;&gt;0,(#REF!+G11+H11+I11+J11+K11+L11+M11+N11+O11+P11+Q11+R11+S11+T11+U11),"")</f>
        <v>#REF!</v>
      </c>
      <c r="W11" s="65" t="e">
        <f>IF((G11+H11+I11+J11)&lt;&gt;0,(4.07*J11-7.6*G11-6.72*H11-1.43*I11)*100/(100-#REF!),"")</f>
        <v>#REF!</v>
      </c>
      <c r="X11" s="136">
        <f t="shared" si="15"/>
        <v>1</v>
      </c>
      <c r="Y11" s="136" t="str">
        <f t="shared" si="16"/>
        <v/>
      </c>
      <c r="Z11" s="60">
        <f t="shared" si="17"/>
        <v>0.5</v>
      </c>
      <c r="AA11" s="60">
        <f t="shared" si="18"/>
        <v>25.125628140703519</v>
      </c>
      <c r="AB11" s="304">
        <v>70</v>
      </c>
      <c r="AC11" s="171" t="e">
        <f t="shared" si="19"/>
        <v>#REF!</v>
      </c>
      <c r="AD11" s="34"/>
      <c r="AE11" s="16"/>
      <c r="AF11" s="46"/>
      <c r="AH11" s="290"/>
      <c r="AI11" s="98"/>
      <c r="AJ11" s="121"/>
      <c r="AK11" s="102"/>
      <c r="AL11" s="122"/>
      <c r="AM11" s="98"/>
      <c r="AN11" s="98"/>
      <c r="AO11" s="98"/>
      <c r="AP11" s="98"/>
      <c r="AQ11" s="98"/>
      <c r="AR11" s="98"/>
      <c r="AS11" s="98"/>
      <c r="AT11" s="99"/>
      <c r="CB11" s="10" t="s">
        <v>154</v>
      </c>
      <c r="CE11" s="10" t="s">
        <v>154</v>
      </c>
      <c r="CG11" s="10" t="s">
        <v>154</v>
      </c>
      <c r="CH11" s="10" t="s">
        <v>152</v>
      </c>
      <c r="HQ11" s="10" t="s">
        <v>151</v>
      </c>
      <c r="HR11" s="10" t="s">
        <v>151</v>
      </c>
    </row>
    <row r="12" spans="1:226" s="10" customFormat="1" ht="13.5" customHeight="1">
      <c r="C12" s="3">
        <f t="shared" si="20"/>
        <v>43743</v>
      </c>
      <c r="D12" s="424">
        <v>8.3333333333333329E-2</v>
      </c>
      <c r="E12" s="52">
        <v>4</v>
      </c>
      <c r="F12" s="52"/>
      <c r="G12" s="36">
        <v>3.7</v>
      </c>
      <c r="H12" s="201">
        <v>3.4</v>
      </c>
      <c r="I12" s="201"/>
      <c r="J12" s="201">
        <v>3.4</v>
      </c>
      <c r="K12" s="201">
        <v>6</v>
      </c>
      <c r="L12" s="201"/>
      <c r="M12" s="201"/>
      <c r="N12" s="201"/>
      <c r="O12" s="208">
        <v>3</v>
      </c>
      <c r="P12" s="208"/>
      <c r="Q12" s="208"/>
      <c r="R12" s="208"/>
      <c r="S12" s="208"/>
      <c r="T12" s="208"/>
      <c r="U12" s="56"/>
      <c r="V12" s="52" t="e">
        <f>IF((G12+H12+I12+J12+K12+L12+M12+N12+O12+P12+Q12+R12+S12+T12+U12)&lt;&gt;0,(#REF!+G12+H12+I12+J12+K12+L12+M12+N12+O12+P12+Q12+R12+S12+T12+U12),"")</f>
        <v>#REF!</v>
      </c>
      <c r="W12" s="65" t="e">
        <f>IF((G12+H12+I12+J12)&lt;&gt;0,(4.07*J12-7.6*G12-6.72*H12-1.43*I12)*100/(100-#REF!),"")</f>
        <v>#REF!</v>
      </c>
      <c r="X12" s="136">
        <f t="shared" si="15"/>
        <v>1.0882352941176472</v>
      </c>
      <c r="Y12" s="136" t="str">
        <f t="shared" si="16"/>
        <v/>
      </c>
      <c r="Z12" s="60">
        <f t="shared" si="17"/>
        <v>0.47887323943661975</v>
      </c>
      <c r="AA12" s="60">
        <f t="shared" si="18"/>
        <v>23.657111049262454</v>
      </c>
      <c r="AB12" s="304">
        <v>70</v>
      </c>
      <c r="AC12" s="171" t="e">
        <f t="shared" si="19"/>
        <v>#REF!</v>
      </c>
      <c r="AD12" s="15"/>
      <c r="AE12" s="16"/>
      <c r="AF12" s="46"/>
      <c r="AH12" s="101"/>
      <c r="AI12" s="98"/>
      <c r="AJ12" s="121"/>
      <c r="AK12" s="102"/>
      <c r="AL12" s="122"/>
      <c r="AM12" s="98"/>
      <c r="AN12" s="98"/>
      <c r="AO12" s="98"/>
      <c r="AP12" s="98"/>
      <c r="AQ12" s="98"/>
      <c r="AR12" s="98"/>
      <c r="AS12" s="98"/>
      <c r="AT12" s="99"/>
      <c r="CB12" s="10" t="s">
        <v>154</v>
      </c>
      <c r="CE12" s="10" t="s">
        <v>154</v>
      </c>
      <c r="CG12" s="10" t="s">
        <v>154</v>
      </c>
      <c r="CH12" s="10" t="s">
        <v>152</v>
      </c>
      <c r="HQ12" s="10" t="s">
        <v>151</v>
      </c>
      <c r="HR12" s="10" t="s">
        <v>151</v>
      </c>
    </row>
    <row r="13" spans="1:226" s="10" customFormat="1" ht="13.5" customHeight="1">
      <c r="C13" s="3">
        <f t="shared" si="20"/>
        <v>43743</v>
      </c>
      <c r="D13" s="424">
        <v>0.125</v>
      </c>
      <c r="E13" s="52">
        <v>5</v>
      </c>
      <c r="F13" s="52"/>
      <c r="G13" s="36"/>
      <c r="H13" s="201">
        <v>7.8</v>
      </c>
      <c r="I13" s="201"/>
      <c r="J13" s="201">
        <v>56</v>
      </c>
      <c r="K13" s="201">
        <v>6</v>
      </c>
      <c r="L13" s="201"/>
      <c r="M13" s="201"/>
      <c r="N13" s="201"/>
      <c r="O13" s="208">
        <v>4</v>
      </c>
      <c r="P13" s="208"/>
      <c r="Q13" s="208"/>
      <c r="R13" s="208"/>
      <c r="S13" s="208"/>
      <c r="T13" s="208"/>
      <c r="U13" s="56"/>
      <c r="V13" s="52" t="e">
        <f>IF((G13+H13+I13+J13+K13+L13+M13+N13+O13+P13+Q13+R13+S13+T13+U13)&lt;&gt;0,(#REF!+G13+H13+I13+J13+K13+L13+M13+N13+O13+P13+Q13+R13+S13+T13+U13),"")</f>
        <v>#REF!</v>
      </c>
      <c r="W13" s="65" t="e">
        <f>IF((G13+H13+I13+J13)&lt;&gt;0,(4.07*J13-7.6*G13-6.72*H13-1.43*I13)*100/(100-#REF!),"")</f>
        <v>#REF!</v>
      </c>
      <c r="X13" s="136">
        <f t="shared" si="15"/>
        <v>0</v>
      </c>
      <c r="Y13" s="136" t="str">
        <f t="shared" si="16"/>
        <v/>
      </c>
      <c r="Z13" s="60">
        <f t="shared" si="17"/>
        <v>7.1794871794871797</v>
      </c>
      <c r="AA13" s="60">
        <f t="shared" si="18"/>
        <v>608.43111690569322</v>
      </c>
      <c r="AB13" s="304">
        <v>70</v>
      </c>
      <c r="AC13" s="171" t="str">
        <f t="shared" si="19"/>
        <v/>
      </c>
      <c r="AD13" s="15"/>
      <c r="AE13" s="16"/>
      <c r="AF13" s="46"/>
      <c r="AH13" s="101"/>
      <c r="AI13" s="98"/>
      <c r="AJ13" s="121"/>
      <c r="AK13" s="102"/>
      <c r="AL13" s="122"/>
      <c r="AM13" s="98"/>
      <c r="AN13" s="98"/>
      <c r="AO13" s="98"/>
      <c r="AP13" s="98"/>
      <c r="AQ13" s="98"/>
      <c r="AR13" s="98"/>
      <c r="AS13" s="98"/>
      <c r="AT13" s="99"/>
      <c r="CB13" s="10" t="s">
        <v>154</v>
      </c>
      <c r="CE13" s="10" t="s">
        <v>154</v>
      </c>
      <c r="CG13" s="10" t="s">
        <v>154</v>
      </c>
      <c r="CH13" s="10" t="s">
        <v>152</v>
      </c>
      <c r="CL13" s="10" t="s">
        <v>154</v>
      </c>
      <c r="HQ13" s="10" t="s">
        <v>151</v>
      </c>
      <c r="HR13" s="10" t="s">
        <v>151</v>
      </c>
    </row>
    <row r="14" spans="1:226" s="10" customFormat="1" ht="14.25" customHeight="1">
      <c r="C14" s="3">
        <f t="shared" si="20"/>
        <v>43743</v>
      </c>
      <c r="D14" s="424">
        <v>0.16666666666666666</v>
      </c>
      <c r="E14" s="52">
        <v>5</v>
      </c>
      <c r="F14" s="52"/>
      <c r="G14" s="36">
        <v>4</v>
      </c>
      <c r="H14" s="201"/>
      <c r="I14" s="201"/>
      <c r="J14" s="201"/>
      <c r="K14" s="201">
        <v>1</v>
      </c>
      <c r="L14" s="201"/>
      <c r="M14" s="201"/>
      <c r="N14" s="201"/>
      <c r="O14" s="208">
        <v>5</v>
      </c>
      <c r="P14" s="208"/>
      <c r="Q14" s="208"/>
      <c r="R14" s="208"/>
      <c r="S14" s="208"/>
      <c r="T14" s="208"/>
      <c r="U14" s="56"/>
      <c r="V14" s="52" t="e">
        <f>IF((G14+H14+I14+J14+K14+L14+M14+N14+O14+P14+Q14+R14+S14+T14+U14)&lt;&gt;0,(#REF!+G14+H14+I14+J14+K14+L14+M14+N14+O14+P14+Q14+R14+S14+T14+U14),"")</f>
        <v>#REF!</v>
      </c>
      <c r="W14" s="65" t="e">
        <f>IF((G14+H14+I14+J14)&lt;&gt;0,(4.07*J14-7.6*G14-6.72*H14-1.43*I14)*100/(100-#REF!),"")</f>
        <v>#REF!</v>
      </c>
      <c r="X14" s="136" t="e">
        <f t="shared" si="15"/>
        <v>#DIV/0!</v>
      </c>
      <c r="Y14" s="136" t="str">
        <f t="shared" si="16"/>
        <v/>
      </c>
      <c r="Z14" s="60">
        <f t="shared" si="17"/>
        <v>0</v>
      </c>
      <c r="AA14" s="60">
        <f t="shared" si="18"/>
        <v>0</v>
      </c>
      <c r="AB14" s="304">
        <v>70</v>
      </c>
      <c r="AC14" s="171" t="e">
        <f t="shared" si="19"/>
        <v>#REF!</v>
      </c>
      <c r="AD14" s="15"/>
      <c r="AE14" s="16"/>
      <c r="AF14" s="46"/>
      <c r="AH14" s="101"/>
      <c r="AI14" s="98"/>
      <c r="AJ14" s="121"/>
      <c r="AK14" s="102"/>
      <c r="AL14" s="122"/>
      <c r="AM14" s="98"/>
      <c r="AN14" s="98"/>
      <c r="AO14" s="98"/>
      <c r="AP14" s="98"/>
      <c r="AQ14" s="98"/>
      <c r="AR14" s="98"/>
      <c r="AS14" s="98"/>
      <c r="AT14" s="99"/>
      <c r="CB14" s="10" t="s">
        <v>154</v>
      </c>
      <c r="CE14" s="10" t="s">
        <v>154</v>
      </c>
      <c r="CG14" s="10" t="s">
        <v>154</v>
      </c>
      <c r="CH14" s="10" t="s">
        <v>154</v>
      </c>
      <c r="CM14" s="10" t="s">
        <v>154</v>
      </c>
      <c r="HQ14" s="10" t="s">
        <v>151</v>
      </c>
      <c r="HR14" s="10" t="s">
        <v>151</v>
      </c>
    </row>
    <row r="15" spans="1:226" s="10" customFormat="1" ht="13.5" customHeight="1">
      <c r="C15" s="3">
        <f t="shared" si="20"/>
        <v>43743</v>
      </c>
      <c r="D15" s="424">
        <v>0.20833333333333334</v>
      </c>
      <c r="E15" s="52">
        <v>34</v>
      </c>
      <c r="F15" s="52"/>
      <c r="G15" s="36"/>
      <c r="H15" s="300">
        <v>7.8</v>
      </c>
      <c r="I15" s="201">
        <v>5</v>
      </c>
      <c r="J15" s="201">
        <v>1.7</v>
      </c>
      <c r="K15" s="201">
        <v>2</v>
      </c>
      <c r="L15" s="201"/>
      <c r="M15" s="201"/>
      <c r="N15" s="201"/>
      <c r="O15" s="208">
        <v>6</v>
      </c>
      <c r="P15" s="208"/>
      <c r="Q15" s="208"/>
      <c r="R15" s="208"/>
      <c r="S15" s="208"/>
      <c r="T15" s="208"/>
      <c r="U15" s="56"/>
      <c r="V15" s="52" t="e">
        <f>IF((G15+H15+I15+J15+K15+L15+M15+N15+O15+P15+Q15+R15+S15+T15+U15)&lt;&gt;0,(#REF!+G15+H15+I15+J15+K15+L15+M15+N15+O15+P15+Q15+R15+S15+T15+U15),"")</f>
        <v>#REF!</v>
      </c>
      <c r="W15" s="65" t="e">
        <f>IF((G15+H15+I15+J15)&lt;&gt;0,(4.07*J15-7.6*G15-6.72*H15-1.43*I15)*100/(100-#REF!),"")</f>
        <v>#REF!</v>
      </c>
      <c r="X15" s="136">
        <f t="shared" si="15"/>
        <v>0</v>
      </c>
      <c r="Y15" s="136">
        <f t="shared" si="16"/>
        <v>1.56</v>
      </c>
      <c r="Z15" s="60">
        <f t="shared" si="17"/>
        <v>0.1328125</v>
      </c>
      <c r="AA15" s="60">
        <f t="shared" si="18"/>
        <v>13.650232856913442</v>
      </c>
      <c r="AB15" s="304">
        <v>70</v>
      </c>
      <c r="AC15" s="171" t="str">
        <f t="shared" si="19"/>
        <v/>
      </c>
      <c r="AD15" s="15"/>
      <c r="AE15" s="16"/>
      <c r="AF15" s="46"/>
      <c r="AH15" s="290"/>
      <c r="AI15" s="98"/>
      <c r="AJ15" s="121"/>
      <c r="AK15" s="102"/>
      <c r="AL15" s="122"/>
      <c r="AM15" s="98"/>
      <c r="AN15" s="98"/>
      <c r="AO15" s="98"/>
      <c r="AP15" s="98"/>
      <c r="AQ15" s="98"/>
      <c r="AR15" s="98"/>
      <c r="AS15" s="98"/>
      <c r="AT15" s="99"/>
      <c r="CB15" s="10" t="s">
        <v>154</v>
      </c>
      <c r="CE15" s="10" t="s">
        <v>154</v>
      </c>
      <c r="CG15" s="10" t="s">
        <v>154</v>
      </c>
      <c r="CH15" s="10" t="s">
        <v>152</v>
      </c>
      <c r="CM15" s="10" t="s">
        <v>154</v>
      </c>
      <c r="HQ15" s="10" t="s">
        <v>151</v>
      </c>
      <c r="HR15" s="10" t="s">
        <v>151</v>
      </c>
    </row>
    <row r="16" spans="1:226" s="10" customFormat="1" ht="13.5" customHeight="1">
      <c r="C16" s="3">
        <f t="shared" si="20"/>
        <v>43743</v>
      </c>
      <c r="D16" s="424">
        <v>0.25</v>
      </c>
      <c r="E16" s="52">
        <v>5</v>
      </c>
      <c r="F16" s="52"/>
      <c r="G16" s="36"/>
      <c r="H16" s="201"/>
      <c r="I16" s="201"/>
      <c r="J16" s="201">
        <v>1.8</v>
      </c>
      <c r="K16" s="201">
        <v>3</v>
      </c>
      <c r="L16" s="201"/>
      <c r="M16" s="201"/>
      <c r="N16" s="201"/>
      <c r="O16" s="208"/>
      <c r="P16" s="208"/>
      <c r="Q16" s="208"/>
      <c r="R16" s="208"/>
      <c r="S16" s="208"/>
      <c r="T16" s="208"/>
      <c r="U16" s="56"/>
      <c r="V16" s="52" t="e">
        <f>IF((G16+H16+I16+J16+K16+L16+M16+N16+O16+P16+Q16+R16+S16+T16+U16)&lt;&gt;0,(#REF!+G16+H16+I16+J16+K16+L16+M16+N16+O16+P16+Q16+R16+S16+T16+U16),"")</f>
        <v>#REF!</v>
      </c>
      <c r="W16" s="65" t="e">
        <f>IF((G16+H16+I16+J16)&lt;&gt;0,(4.07*J16-7.6*G16-6.72*H16-1.43*I16)*100/(100-#REF!),"")</f>
        <v>#REF!</v>
      </c>
      <c r="X16" s="136" t="e">
        <f t="shared" si="15"/>
        <v>#DIV/0!</v>
      </c>
      <c r="Y16" s="136" t="str">
        <f t="shared" si="16"/>
        <v/>
      </c>
      <c r="Z16" s="60" t="e">
        <f t="shared" si="17"/>
        <v>#DIV/0!</v>
      </c>
      <c r="AA16" s="60" t="str">
        <f t="shared" si="18"/>
        <v/>
      </c>
      <c r="AB16" s="304">
        <v>70</v>
      </c>
      <c r="AC16" s="171" t="str">
        <f t="shared" si="19"/>
        <v/>
      </c>
      <c r="AD16" s="15"/>
      <c r="AE16" s="16"/>
      <c r="AF16" s="46"/>
      <c r="AH16" s="101"/>
      <c r="AI16" s="127"/>
      <c r="AJ16" s="121"/>
      <c r="AK16" s="102"/>
      <c r="AL16" s="122"/>
      <c r="AM16" s="98"/>
      <c r="AN16" s="98"/>
      <c r="AO16" s="98"/>
      <c r="AP16" s="98"/>
      <c r="AQ16" s="98"/>
      <c r="AR16" s="98"/>
      <c r="AS16" s="98"/>
      <c r="AT16" s="99"/>
      <c r="CB16" s="10" t="s">
        <v>154</v>
      </c>
      <c r="CE16" s="10" t="s">
        <v>154</v>
      </c>
      <c r="CG16" s="10" t="s">
        <v>154</v>
      </c>
      <c r="CH16" s="10" t="s">
        <v>152</v>
      </c>
      <c r="CM16" s="10" t="s">
        <v>154</v>
      </c>
      <c r="HQ16" s="10" t="s">
        <v>151</v>
      </c>
      <c r="HR16" s="10" t="s">
        <v>151</v>
      </c>
    </row>
    <row r="17" spans="3:226" s="10" customFormat="1" ht="13.5" customHeight="1" thickBot="1">
      <c r="C17" s="78">
        <f t="shared" si="20"/>
        <v>43743</v>
      </c>
      <c r="D17" s="425">
        <v>0.29166666666666669</v>
      </c>
      <c r="E17" s="212">
        <v>12</v>
      </c>
      <c r="F17" s="212"/>
      <c r="G17" s="37"/>
      <c r="H17" s="19">
        <v>765</v>
      </c>
      <c r="I17" s="24"/>
      <c r="J17" s="24">
        <v>3</v>
      </c>
      <c r="K17" s="19">
        <v>4</v>
      </c>
      <c r="L17" s="19"/>
      <c r="M17" s="19"/>
      <c r="N17" s="19"/>
      <c r="O17" s="24"/>
      <c r="P17" s="57"/>
      <c r="Q17" s="57"/>
      <c r="R17" s="57"/>
      <c r="S17" s="57"/>
      <c r="T17" s="24"/>
      <c r="U17" s="25"/>
      <c r="V17" s="210" t="e">
        <f>IF((G17+H17+I17+J17+K17+L17+M17+N17+O17+P17+Q17+R17+S17+T17+U17)&lt;&gt;0,(#REF!+G17+H17+I17+J17+K17+L17+M17+N17+O17+P17+Q17+R17+S17+T17+U17),"")</f>
        <v>#REF!</v>
      </c>
      <c r="W17" s="185" t="e">
        <f>IF((G17+H17+I17+J17)&lt;&gt;0,(4.07*J17-7.6*G17-6.72*H17-1.43*I17)*100/(100-#REF!),"")</f>
        <v>#REF!</v>
      </c>
      <c r="X17" s="168">
        <f t="shared" si="15"/>
        <v>0</v>
      </c>
      <c r="Y17" s="168" t="str">
        <f t="shared" si="16"/>
        <v/>
      </c>
      <c r="Z17" s="55">
        <f t="shared" si="17"/>
        <v>3.9215686274509803E-3</v>
      </c>
      <c r="AA17" s="55">
        <f t="shared" si="18"/>
        <v>0.33233632436025262</v>
      </c>
      <c r="AB17" s="359">
        <v>70</v>
      </c>
      <c r="AC17" s="171" t="str">
        <f t="shared" si="19"/>
        <v/>
      </c>
      <c r="AD17" s="15"/>
      <c r="AE17" s="16"/>
      <c r="AF17" s="47"/>
      <c r="AH17" s="101"/>
      <c r="AI17" s="127"/>
      <c r="AJ17" s="121"/>
      <c r="AK17" s="102"/>
      <c r="AL17" s="156"/>
      <c r="AM17" s="156"/>
      <c r="AN17" s="156"/>
      <c r="AO17" s="156"/>
      <c r="AP17" s="156"/>
      <c r="AQ17" s="156"/>
      <c r="AR17" s="156"/>
      <c r="AS17" s="156"/>
      <c r="AT17" s="157"/>
      <c r="CB17" s="10" t="s">
        <v>154</v>
      </c>
      <c r="CE17" s="10" t="s">
        <v>154</v>
      </c>
      <c r="CG17" s="10" t="s">
        <v>154</v>
      </c>
      <c r="CH17" s="10" t="s">
        <v>152</v>
      </c>
      <c r="CJ17" s="10" t="s">
        <v>154</v>
      </c>
      <c r="CL17" s="10" t="s">
        <v>154</v>
      </c>
      <c r="CM17" s="10" t="s">
        <v>154</v>
      </c>
      <c r="HQ17" s="10" t="s">
        <v>151</v>
      </c>
      <c r="HR17" s="10" t="s">
        <v>151</v>
      </c>
    </row>
    <row r="18" spans="3:226" s="10" customFormat="1" ht="13.5" customHeight="1">
      <c r="C18" s="79">
        <f t="shared" si="20"/>
        <v>43743</v>
      </c>
      <c r="D18" s="426">
        <v>0.33333333333333298</v>
      </c>
      <c r="E18" s="382">
        <v>345</v>
      </c>
      <c r="F18" s="382"/>
      <c r="G18" s="35"/>
      <c r="H18" s="13"/>
      <c r="I18" s="69"/>
      <c r="J18" s="69">
        <v>1</v>
      </c>
      <c r="K18" s="13"/>
      <c r="L18" s="13"/>
      <c r="M18" s="13"/>
      <c r="N18" s="13"/>
      <c r="O18" s="13"/>
      <c r="P18" s="198"/>
      <c r="Q18" s="56"/>
      <c r="R18" s="56"/>
      <c r="S18" s="56"/>
      <c r="T18" s="56"/>
      <c r="U18" s="198"/>
      <c r="V18" s="211" t="e">
        <f>IF((G18+H18+I18+J18+K18+L18+M18+N18+O18+P18+Q18+R18+S18+T18+U18)&lt;&gt;0,(#REF!+G18+H18+I18+J18+K18+L18+M18+N18+O18+P18+Q18+R18+S18+T18+U18),"")</f>
        <v>#REF!</v>
      </c>
      <c r="W18" s="177" t="e">
        <f>IF((G18+H18+I18+J18)&lt;&gt;0,(4.07*J18-7.6*G18-6.72*H18-1.43*I18)*100/(100-#REF!),"")</f>
        <v>#REF!</v>
      </c>
      <c r="X18" s="169" t="e">
        <f t="shared" si="15"/>
        <v>#DIV/0!</v>
      </c>
      <c r="Y18" s="169" t="str">
        <f t="shared" si="16"/>
        <v/>
      </c>
      <c r="Z18" s="59" t="e">
        <f t="shared" si="17"/>
        <v>#DIV/0!</v>
      </c>
      <c r="AA18" s="59" t="str">
        <f t="shared" si="18"/>
        <v/>
      </c>
      <c r="AB18" s="305">
        <v>70</v>
      </c>
      <c r="AC18" s="133" t="str">
        <f t="shared" si="19"/>
        <v/>
      </c>
      <c r="AD18" s="11"/>
      <c r="AE18" s="12"/>
      <c r="AF18" s="45"/>
      <c r="AG18" s="295"/>
      <c r="AH18" s="115"/>
      <c r="AI18" s="126"/>
      <c r="AJ18" s="124"/>
      <c r="AK18" s="110"/>
      <c r="AL18" s="125"/>
      <c r="AM18" s="106"/>
      <c r="AN18" s="106"/>
      <c r="AO18" s="106"/>
      <c r="AP18" s="106"/>
      <c r="AQ18" s="106"/>
      <c r="AR18" s="106"/>
      <c r="AS18" s="106"/>
      <c r="AT18" s="107"/>
      <c r="CB18" s="10" t="s">
        <v>154</v>
      </c>
      <c r="CE18" s="10" t="s">
        <v>154</v>
      </c>
      <c r="CG18" s="10" t="s">
        <v>154</v>
      </c>
      <c r="CH18" s="10" t="s">
        <v>152</v>
      </c>
      <c r="CL18" s="10" t="s">
        <v>154</v>
      </c>
      <c r="HQ18" s="10" t="s">
        <v>151</v>
      </c>
      <c r="HR18" s="10" t="s">
        <v>151</v>
      </c>
    </row>
    <row r="19" spans="3:226" s="10" customFormat="1">
      <c r="C19" s="5">
        <f>C18</f>
        <v>43743</v>
      </c>
      <c r="D19" s="427">
        <v>0.375</v>
      </c>
      <c r="E19" s="52">
        <v>12345</v>
      </c>
      <c r="F19" s="52"/>
      <c r="G19" s="36"/>
      <c r="H19" s="201">
        <v>123</v>
      </c>
      <c r="I19" s="201"/>
      <c r="J19" s="201">
        <v>2</v>
      </c>
      <c r="K19" s="201">
        <v>5</v>
      </c>
      <c r="L19" s="201"/>
      <c r="M19" s="201"/>
      <c r="N19" s="201"/>
      <c r="O19" s="208"/>
      <c r="P19" s="208"/>
      <c r="Q19" s="208"/>
      <c r="R19" s="208"/>
      <c r="S19" s="208"/>
      <c r="T19" s="208"/>
      <c r="U19" s="198"/>
      <c r="V19" s="52" t="e">
        <f>IF((G19+H19+I19+J19+K19+L19+M19+N19+O19+P19+Q19+R19+S19+T19+U19)&lt;&gt;0,(#REF!+G19+H19+I19+J19+K19+L19+M19+N19+O19+P19+Q19+R19+S19+T19+U19),"")</f>
        <v>#REF!</v>
      </c>
      <c r="W19" s="65" t="e">
        <f>IF((G19+H19+I19+J19)&lt;&gt;0,(4.07*J19-7.6*G19-6.72*H19-1.43*I19)*100/(100-#REF!),"")</f>
        <v>#REF!</v>
      </c>
      <c r="X19" s="136">
        <f t="shared" si="15"/>
        <v>0</v>
      </c>
      <c r="Y19" s="136" t="str">
        <f t="shared" si="16"/>
        <v/>
      </c>
      <c r="Z19" s="60">
        <f t="shared" si="17"/>
        <v>1.6260162601626018E-2</v>
      </c>
      <c r="AA19" s="60">
        <f t="shared" si="18"/>
        <v>1.3779798814937303</v>
      </c>
      <c r="AB19" s="304">
        <v>70</v>
      </c>
      <c r="AC19" s="171" t="str">
        <f t="shared" si="19"/>
        <v/>
      </c>
      <c r="AD19" s="15"/>
      <c r="AE19" s="16"/>
      <c r="AF19" s="46"/>
      <c r="AG19" s="295"/>
      <c r="AH19" s="327"/>
      <c r="AI19" s="127"/>
      <c r="AJ19" s="121"/>
      <c r="AK19" s="102"/>
      <c r="AL19" s="122"/>
      <c r="AM19" s="98"/>
      <c r="AN19" s="98"/>
      <c r="AO19" s="98"/>
      <c r="AP19" s="98"/>
      <c r="AQ19" s="98"/>
      <c r="AR19" s="98"/>
      <c r="AS19" s="98"/>
      <c r="AT19" s="99"/>
      <c r="CB19" s="10" t="s">
        <v>154</v>
      </c>
      <c r="CE19" s="10" t="s">
        <v>154</v>
      </c>
      <c r="CG19" s="10" t="s">
        <v>154</v>
      </c>
      <c r="CH19" s="10" t="s">
        <v>152</v>
      </c>
      <c r="CJ19" s="10" t="s">
        <v>154</v>
      </c>
      <c r="CL19" s="10" t="s">
        <v>154</v>
      </c>
      <c r="CM19" s="10" t="s">
        <v>154</v>
      </c>
    </row>
    <row r="20" spans="3:226" s="10" customFormat="1">
      <c r="C20" s="5">
        <f t="shared" si="20"/>
        <v>43743</v>
      </c>
      <c r="D20" s="427">
        <v>0.41666666666666702</v>
      </c>
      <c r="E20" s="52"/>
      <c r="F20" s="52"/>
      <c r="G20" s="36"/>
      <c r="H20" s="201"/>
      <c r="I20" s="201"/>
      <c r="J20" s="201">
        <v>3</v>
      </c>
      <c r="K20" s="201">
        <v>6</v>
      </c>
      <c r="L20" s="201"/>
      <c r="M20" s="201"/>
      <c r="N20" s="201"/>
      <c r="O20" s="208"/>
      <c r="P20" s="208"/>
      <c r="Q20" s="208"/>
      <c r="R20" s="208"/>
      <c r="S20" s="208"/>
      <c r="T20" s="208"/>
      <c r="U20" s="198"/>
      <c r="V20" s="52" t="e">
        <f>IF((G20+H20+I20+J20+K20+L20+M20+N20+O20+P20+Q20+R20+S20+T20+U20)&lt;&gt;0,(#REF!+G20+H20+I20+J20+K20+L20+M20+N20+O20+P20+Q20+R20+S20+T20+U20),"")</f>
        <v>#REF!</v>
      </c>
      <c r="W20" s="65" t="e">
        <f>IF((G20+H20+I20+J20)&lt;&gt;0,(4.07*J20-7.6*G20-6.72*H20-1.43*I20)*100/(100-#REF!),"")</f>
        <v>#REF!</v>
      </c>
      <c r="X20" s="136" t="e">
        <f t="shared" si="15"/>
        <v>#DIV/0!</v>
      </c>
      <c r="Y20" s="136" t="str">
        <f t="shared" si="16"/>
        <v/>
      </c>
      <c r="Z20" s="60" t="e">
        <f t="shared" si="17"/>
        <v>#DIV/0!</v>
      </c>
      <c r="AA20" s="60" t="str">
        <f t="shared" si="18"/>
        <v/>
      </c>
      <c r="AB20" s="304">
        <v>70</v>
      </c>
      <c r="AC20" s="171" t="str">
        <f t="shared" si="19"/>
        <v/>
      </c>
      <c r="AD20" s="15"/>
      <c r="AE20" s="16"/>
      <c r="AF20" s="46"/>
      <c r="AG20" s="295"/>
      <c r="AH20" s="327"/>
      <c r="AI20" s="127"/>
      <c r="AJ20" s="121"/>
      <c r="AK20" s="102"/>
      <c r="AL20" s="122"/>
      <c r="AM20" s="98"/>
      <c r="AN20" s="98"/>
      <c r="AO20" s="98"/>
      <c r="AP20" s="98"/>
      <c r="AQ20" s="98"/>
      <c r="AR20" s="98"/>
      <c r="AS20" s="98"/>
      <c r="AT20" s="99"/>
      <c r="CB20" s="10" t="s">
        <v>154</v>
      </c>
      <c r="CE20" s="10" t="s">
        <v>154</v>
      </c>
      <c r="CG20" s="10" t="s">
        <v>154</v>
      </c>
      <c r="CH20" s="10" t="s">
        <v>152</v>
      </c>
      <c r="CL20" s="10" t="s">
        <v>154</v>
      </c>
      <c r="CM20" s="10" t="s">
        <v>154</v>
      </c>
    </row>
    <row r="21" spans="3:226" s="10" customFormat="1">
      <c r="C21" s="5">
        <f t="shared" si="20"/>
        <v>43743</v>
      </c>
      <c r="D21" s="427">
        <v>0.45833333333333298</v>
      </c>
      <c r="E21" s="52">
        <v>1</v>
      </c>
      <c r="F21" s="52"/>
      <c r="G21" s="36"/>
      <c r="H21" s="201"/>
      <c r="I21" s="201"/>
      <c r="J21" s="201">
        <v>4</v>
      </c>
      <c r="K21" s="201">
        <v>7</v>
      </c>
      <c r="L21" s="201"/>
      <c r="M21" s="201"/>
      <c r="N21" s="201"/>
      <c r="O21" s="208"/>
      <c r="P21" s="208"/>
      <c r="Q21" s="208"/>
      <c r="R21" s="208"/>
      <c r="S21" s="208"/>
      <c r="T21" s="208"/>
      <c r="U21" s="198"/>
      <c r="V21" s="52" t="e">
        <f>IF((G21+H21+I21+J21+K21+L21+M21+N21+O21+P21+Q21+R21+S21+T21+U21)&lt;&gt;0,(#REF!+G21+H21+I21+J21+K21+L21+M21+N21+O21+P21+Q21+R21+S21+T21+U21),"")</f>
        <v>#REF!</v>
      </c>
      <c r="W21" s="65" t="e">
        <f>IF((G21+H21+I21+J21)&lt;&gt;0,(4.07*J21-7.6*G21-6.72*H21-1.43*I21)*100/(100-#REF!),"")</f>
        <v>#REF!</v>
      </c>
      <c r="X21" s="136" t="e">
        <f t="shared" si="15"/>
        <v>#DIV/0!</v>
      </c>
      <c r="Y21" s="136" t="str">
        <f t="shared" si="16"/>
        <v/>
      </c>
      <c r="Z21" s="60" t="e">
        <f t="shared" si="17"/>
        <v>#DIV/0!</v>
      </c>
      <c r="AA21" s="60" t="str">
        <f t="shared" si="18"/>
        <v/>
      </c>
      <c r="AB21" s="304">
        <v>70</v>
      </c>
      <c r="AC21" s="171" t="str">
        <f t="shared" si="19"/>
        <v/>
      </c>
      <c r="AD21" s="15"/>
      <c r="AE21" s="16"/>
      <c r="AF21" s="46"/>
      <c r="AG21" s="295"/>
      <c r="AH21" s="327"/>
      <c r="AI21" s="127"/>
      <c r="AJ21" s="121"/>
      <c r="AK21" s="102"/>
      <c r="AL21" s="122"/>
      <c r="AM21" s="98"/>
      <c r="AN21" s="98"/>
      <c r="AO21" s="98"/>
      <c r="AP21" s="98"/>
      <c r="AQ21" s="98"/>
      <c r="AR21" s="98"/>
      <c r="AS21" s="98"/>
      <c r="AT21" s="99"/>
      <c r="CB21" s="10" t="s">
        <v>154</v>
      </c>
      <c r="CE21" s="10" t="s">
        <v>154</v>
      </c>
      <c r="CG21" s="10" t="s">
        <v>154</v>
      </c>
      <c r="CH21" s="10" t="s">
        <v>152</v>
      </c>
      <c r="CL21" s="10" t="s">
        <v>154</v>
      </c>
      <c r="CM21" s="10" t="s">
        <v>154</v>
      </c>
    </row>
    <row r="22" spans="3:226" s="10" customFormat="1">
      <c r="C22" s="5">
        <f t="shared" si="20"/>
        <v>43743</v>
      </c>
      <c r="D22" s="427">
        <v>0.5</v>
      </c>
      <c r="E22" s="52">
        <v>2</v>
      </c>
      <c r="F22" s="52"/>
      <c r="G22" s="36"/>
      <c r="H22" s="201">
        <v>1</v>
      </c>
      <c r="I22" s="201"/>
      <c r="J22" s="201">
        <v>15</v>
      </c>
      <c r="K22" s="201">
        <v>7</v>
      </c>
      <c r="L22" s="201"/>
      <c r="M22" s="201"/>
      <c r="N22" s="201"/>
      <c r="O22" s="208"/>
      <c r="P22" s="208"/>
      <c r="Q22" s="208"/>
      <c r="R22" s="208"/>
      <c r="S22" s="208"/>
      <c r="T22" s="208"/>
      <c r="U22" s="198"/>
      <c r="V22" s="52" t="e">
        <f>IF((G22+H22+I22+J22+K22+L22+M22+N22+O22+P22+Q22+R22+S22+T22+U22)&lt;&gt;0,(#REF!+G22+H22+I22+J22+K22+L22+M22+N22+O22+P22+Q22+R22+S22+T22+U22),"")</f>
        <v>#REF!</v>
      </c>
      <c r="W22" s="65" t="e">
        <f>IF((G22+H22+I22+J22)&lt;&gt;0,(4.07*J22-7.6*G22-6.72*H22-1.43*I22)*100/(100-#REF!),"")</f>
        <v>#REF!</v>
      </c>
      <c r="X22" s="136">
        <f t="shared" si="15"/>
        <v>0</v>
      </c>
      <c r="Y22" s="136" t="str">
        <f t="shared" si="16"/>
        <v/>
      </c>
      <c r="Z22" s="60">
        <f t="shared" si="17"/>
        <v>15</v>
      </c>
      <c r="AA22" s="60">
        <f t="shared" si="18"/>
        <v>1271.1864406779662</v>
      </c>
      <c r="AB22" s="304">
        <v>70</v>
      </c>
      <c r="AC22" s="171" t="str">
        <f t="shared" si="19"/>
        <v/>
      </c>
      <c r="AD22" s="15"/>
      <c r="AE22" s="16"/>
      <c r="AF22" s="46"/>
      <c r="AG22" s="295"/>
      <c r="AH22" s="327"/>
      <c r="AI22" s="127"/>
      <c r="AJ22" s="121"/>
      <c r="AK22" s="102"/>
      <c r="AL22" s="122"/>
      <c r="AM22" s="98"/>
      <c r="AN22" s="98"/>
      <c r="AO22" s="98"/>
      <c r="AP22" s="98"/>
      <c r="AQ22" s="98"/>
      <c r="AR22" s="98"/>
      <c r="AS22" s="98"/>
      <c r="AT22" s="99"/>
      <c r="CB22" s="10" t="s">
        <v>154</v>
      </c>
      <c r="CE22" s="10" t="s">
        <v>154</v>
      </c>
      <c r="CG22" s="10" t="s">
        <v>154</v>
      </c>
      <c r="CH22" s="10" t="s">
        <v>152</v>
      </c>
      <c r="CJ22" s="10" t="s">
        <v>154</v>
      </c>
      <c r="CL22" s="10" t="s">
        <v>154</v>
      </c>
      <c r="CM22" s="10" t="s">
        <v>154</v>
      </c>
    </row>
    <row r="23" spans="3:226" s="10" customFormat="1">
      <c r="C23" s="5">
        <f t="shared" si="20"/>
        <v>43743</v>
      </c>
      <c r="D23" s="427">
        <v>0.54166666666666696</v>
      </c>
      <c r="E23" s="52">
        <v>3</v>
      </c>
      <c r="F23" s="52"/>
      <c r="G23" s="36"/>
      <c r="H23" s="201">
        <v>2</v>
      </c>
      <c r="I23" s="201"/>
      <c r="J23" s="201">
        <v>6</v>
      </c>
      <c r="K23" s="201">
        <v>8</v>
      </c>
      <c r="L23" s="201"/>
      <c r="M23" s="201"/>
      <c r="N23" s="201"/>
      <c r="O23" s="208"/>
      <c r="P23" s="208"/>
      <c r="Q23" s="208"/>
      <c r="R23" s="208"/>
      <c r="S23" s="208"/>
      <c r="T23" s="208"/>
      <c r="U23" s="198"/>
      <c r="V23" s="52" t="e">
        <f>IF((G23+H23+I23+J23+K23+L23+M23+N23+O23+P23+Q23+R23+S23+T23+U23)&lt;&gt;0,(#REF!+G23+H23+I23+J23+K23+L23+M23+N23+O23+P23+Q23+R23+S23+T23+U23),"")</f>
        <v>#REF!</v>
      </c>
      <c r="W23" s="65" t="e">
        <f>IF((G23+H23+I23+J23)&lt;&gt;0,(4.07*J23-7.6*G23-6.72*H23-1.43*I23)*100/(100-#REF!),"")</f>
        <v>#REF!</v>
      </c>
      <c r="X23" s="136">
        <f t="shared" si="15"/>
        <v>0</v>
      </c>
      <c r="Y23" s="136" t="str">
        <f t="shared" si="16"/>
        <v/>
      </c>
      <c r="Z23" s="60">
        <f t="shared" si="17"/>
        <v>3</v>
      </c>
      <c r="AA23" s="60">
        <f t="shared" si="18"/>
        <v>254.23728813559325</v>
      </c>
      <c r="AB23" s="304">
        <v>70</v>
      </c>
      <c r="AC23" s="171" t="str">
        <f t="shared" si="19"/>
        <v/>
      </c>
      <c r="AD23" s="15"/>
      <c r="AE23" s="16"/>
      <c r="AG23" s="295"/>
      <c r="AH23" s="327"/>
      <c r="AI23" s="127"/>
      <c r="AJ23" s="121"/>
      <c r="AK23" s="102"/>
      <c r="AL23" s="122"/>
      <c r="AM23" s="98"/>
      <c r="AN23" s="98"/>
      <c r="AO23" s="98"/>
      <c r="AP23" s="98"/>
      <c r="AQ23" s="98"/>
      <c r="AR23" s="98"/>
      <c r="AS23" s="98"/>
      <c r="AT23" s="99"/>
      <c r="CB23" s="10" t="s">
        <v>154</v>
      </c>
      <c r="CE23" s="10" t="s">
        <v>154</v>
      </c>
      <c r="CG23" s="10" t="s">
        <v>154</v>
      </c>
      <c r="CH23" s="10" t="s">
        <v>152</v>
      </c>
      <c r="CJ23" s="10" t="s">
        <v>154</v>
      </c>
      <c r="CL23" s="10" t="s">
        <v>154</v>
      </c>
      <c r="CM23" s="10" t="s">
        <v>154</v>
      </c>
    </row>
    <row r="24" spans="3:226" s="10" customFormat="1">
      <c r="C24" s="5">
        <f t="shared" si="20"/>
        <v>43743</v>
      </c>
      <c r="D24" s="427">
        <v>0.58333333333333304</v>
      </c>
      <c r="E24" s="52">
        <v>4</v>
      </c>
      <c r="F24" s="52"/>
      <c r="G24" s="36"/>
      <c r="H24" s="201">
        <v>3</v>
      </c>
      <c r="I24" s="201"/>
      <c r="J24" s="201">
        <v>7</v>
      </c>
      <c r="K24" s="201">
        <v>8</v>
      </c>
      <c r="L24" s="201"/>
      <c r="M24" s="201"/>
      <c r="N24" s="201"/>
      <c r="O24" s="208"/>
      <c r="P24" s="208"/>
      <c r="Q24" s="208"/>
      <c r="R24" s="208"/>
      <c r="S24" s="208"/>
      <c r="T24" s="208"/>
      <c r="U24" s="198"/>
      <c r="V24" s="52" t="e">
        <f>IF((G24+H24+I24+J24+K24+L24+M24+N24+O24+P24+Q24+R24+S24+T24+U24)&lt;&gt;0,(#REF!+G24+H24+I24+J24+K24+L24+M24+N24+O24+P24+Q24+R24+S24+T24+U24),"")</f>
        <v>#REF!</v>
      </c>
      <c r="W24" s="65" t="e">
        <f>IF((G24+H24+I24+J24)&lt;&gt;0,(4.07*J24-7.6*G24-6.72*H24-1.43*I24)*100/(100-#REF!),"")</f>
        <v>#REF!</v>
      </c>
      <c r="X24" s="136">
        <f t="shared" si="15"/>
        <v>0</v>
      </c>
      <c r="Y24" s="136" t="str">
        <f t="shared" si="16"/>
        <v/>
      </c>
      <c r="Z24" s="60">
        <f t="shared" si="17"/>
        <v>2.3333333333333335</v>
      </c>
      <c r="AA24" s="60">
        <f t="shared" si="18"/>
        <v>197.74011299435028</v>
      </c>
      <c r="AB24" s="304">
        <v>70</v>
      </c>
      <c r="AC24" s="171" t="str">
        <f t="shared" si="19"/>
        <v/>
      </c>
      <c r="AD24" s="15"/>
      <c r="AE24" s="16"/>
      <c r="AF24" s="46"/>
      <c r="AG24" s="295"/>
      <c r="AH24" s="327"/>
      <c r="AI24" s="127"/>
      <c r="AJ24" s="121"/>
      <c r="AK24" s="102"/>
      <c r="AL24" s="122"/>
      <c r="AM24" s="98"/>
      <c r="AN24" s="98"/>
      <c r="AO24" s="98"/>
      <c r="AP24" s="98"/>
      <c r="AQ24" s="98"/>
      <c r="AR24" s="98"/>
      <c r="AS24" s="98"/>
      <c r="AT24" s="99"/>
      <c r="CB24" s="10" t="s">
        <v>154</v>
      </c>
      <c r="CE24" s="10" t="s">
        <v>154</v>
      </c>
      <c r="CG24" s="10" t="s">
        <v>154</v>
      </c>
      <c r="CH24" s="10" t="s">
        <v>152</v>
      </c>
      <c r="CJ24" s="10" t="s">
        <v>154</v>
      </c>
      <c r="CL24" s="10" t="s">
        <v>154</v>
      </c>
      <c r="CM24" s="10" t="s">
        <v>154</v>
      </c>
    </row>
    <row r="25" spans="3:226" s="10" customFormat="1" ht="13.5" customHeight="1" thickBot="1">
      <c r="C25" s="7">
        <f t="shared" si="20"/>
        <v>43743</v>
      </c>
      <c r="D25" s="428">
        <v>0.625</v>
      </c>
      <c r="E25" s="210">
        <v>5</v>
      </c>
      <c r="F25" s="210"/>
      <c r="G25" s="37"/>
      <c r="H25" s="19">
        <v>4</v>
      </c>
      <c r="I25" s="24"/>
      <c r="J25" s="24">
        <v>7</v>
      </c>
      <c r="K25" s="19">
        <v>9</v>
      </c>
      <c r="L25" s="19"/>
      <c r="M25" s="19"/>
      <c r="N25" s="19"/>
      <c r="O25" s="24"/>
      <c r="P25" s="57"/>
      <c r="Q25" s="57"/>
      <c r="R25" s="57"/>
      <c r="S25" s="57"/>
      <c r="T25" s="24"/>
      <c r="U25" s="25"/>
      <c r="V25" s="210" t="e">
        <f>IF((G25+H25+I25+J25+K25+L25+M25+N25+O25+P25+Q25+R25+S25+T25+U25)&lt;&gt;0,(#REF!+G25+H25+I25+J25+K25+L25+M25+N25+O25+P25+Q25+R25+S25+T25+U25),"")</f>
        <v>#REF!</v>
      </c>
      <c r="W25" s="66" t="e">
        <f>IF((G25+H25+I25+J25)&lt;&gt;0,(4.07*J25-7.6*G25-6.72*H25-1.43*I25)*100/(100-#REF!),"")</f>
        <v>#REF!</v>
      </c>
      <c r="X25" s="137">
        <f t="shared" si="15"/>
        <v>0</v>
      </c>
      <c r="Y25" s="137" t="str">
        <f t="shared" si="16"/>
        <v/>
      </c>
      <c r="Z25" s="62">
        <f t="shared" si="17"/>
        <v>1.75</v>
      </c>
      <c r="AA25" s="62">
        <f t="shared" si="18"/>
        <v>148.30508474576271</v>
      </c>
      <c r="AB25" s="359">
        <v>70</v>
      </c>
      <c r="AC25" s="167" t="str">
        <f t="shared" si="19"/>
        <v/>
      </c>
      <c r="AD25" s="15"/>
      <c r="AE25" s="23"/>
      <c r="AF25" s="46"/>
      <c r="AH25" s="119"/>
      <c r="AI25" s="128"/>
      <c r="AJ25" s="129"/>
      <c r="AK25" s="118"/>
      <c r="AL25" s="130"/>
      <c r="AM25" s="120"/>
      <c r="AN25" s="120"/>
      <c r="AO25" s="120"/>
      <c r="AP25" s="120"/>
      <c r="AQ25" s="120"/>
      <c r="AR25" s="120"/>
      <c r="AS25" s="120"/>
      <c r="AT25" s="123"/>
      <c r="CB25" s="10" t="s">
        <v>154</v>
      </c>
      <c r="CE25" s="10" t="s">
        <v>154</v>
      </c>
      <c r="CG25" s="10" t="s">
        <v>154</v>
      </c>
      <c r="CH25" s="10" t="s">
        <v>152</v>
      </c>
      <c r="CJ25" s="10" t="s">
        <v>154</v>
      </c>
      <c r="CL25" s="10" t="s">
        <v>154</v>
      </c>
      <c r="CM25" s="10" t="s">
        <v>154</v>
      </c>
    </row>
    <row r="26" spans="3:226" s="10" customFormat="1" ht="13.5" customHeight="1">
      <c r="C26" s="250">
        <f t="shared" si="20"/>
        <v>43743</v>
      </c>
      <c r="D26" s="429">
        <v>0.66666666666666696</v>
      </c>
      <c r="E26" s="211">
        <v>1</v>
      </c>
      <c r="F26" s="211"/>
      <c r="G26" s="35"/>
      <c r="H26" s="13">
        <v>4</v>
      </c>
      <c r="I26" s="69"/>
      <c r="J26" s="69">
        <v>8</v>
      </c>
      <c r="K26" s="13"/>
      <c r="L26" s="13"/>
      <c r="M26" s="13"/>
      <c r="N26" s="13"/>
      <c r="O26" s="13"/>
      <c r="P26" s="198"/>
      <c r="Q26" s="56"/>
      <c r="R26" s="56"/>
      <c r="S26" s="56"/>
      <c r="T26" s="56"/>
      <c r="U26" s="198"/>
      <c r="V26" s="211" t="e">
        <f>IF((G26+H26+I26+J26+K26+L26+M26+N26+O26+P26+Q26+R26+S26+T26+U26)&lt;&gt;0,(#REF!+G26+H26+I26+J26+K26+L26+M26+N26+O26+P26+Q26+R26+S26+T26+U26),"")</f>
        <v>#REF!</v>
      </c>
      <c r="W26" s="207" t="e">
        <f>IF((G26+H26+I26+J26)&lt;&gt;0,(4.07*J26-7.6*G26-6.72*H26-1.43*I26)*100/(100-#REF!),"")</f>
        <v>#REF!</v>
      </c>
      <c r="X26" s="195">
        <f t="shared" si="15"/>
        <v>0</v>
      </c>
      <c r="Y26" s="195" t="str">
        <f t="shared" si="16"/>
        <v/>
      </c>
      <c r="Z26" s="83">
        <f t="shared" si="17"/>
        <v>2</v>
      </c>
      <c r="AA26" s="83">
        <f t="shared" si="18"/>
        <v>169.49152542372883</v>
      </c>
      <c r="AB26" s="305">
        <v>70</v>
      </c>
      <c r="AC26" s="134" t="str">
        <f t="shared" si="19"/>
        <v/>
      </c>
      <c r="AD26" s="11"/>
      <c r="AE26" s="270"/>
      <c r="AF26" s="45"/>
      <c r="AH26" s="115"/>
      <c r="AI26" s="126"/>
      <c r="AJ26" s="124"/>
      <c r="AK26" s="110"/>
      <c r="AL26" s="125"/>
      <c r="AM26" s="106"/>
      <c r="AN26" s="106"/>
      <c r="AO26" s="106"/>
      <c r="AP26" s="106"/>
      <c r="AQ26" s="106"/>
      <c r="AR26" s="106"/>
      <c r="AS26" s="106"/>
      <c r="AT26" s="107"/>
      <c r="CB26" s="10" t="s">
        <v>154</v>
      </c>
      <c r="CE26" s="10" t="s">
        <v>154</v>
      </c>
      <c r="CG26" s="10" t="s">
        <v>154</v>
      </c>
      <c r="CH26" s="10" t="s">
        <v>152</v>
      </c>
      <c r="CJ26" s="10" t="s">
        <v>154</v>
      </c>
      <c r="CL26" s="10" t="s">
        <v>154</v>
      </c>
    </row>
    <row r="27" spans="3:226" s="10" customFormat="1" ht="14.25" customHeight="1">
      <c r="C27" s="250">
        <f t="shared" si="20"/>
        <v>43743</v>
      </c>
      <c r="D27" s="424">
        <v>0.70833333333333304</v>
      </c>
      <c r="E27" s="52">
        <v>6</v>
      </c>
      <c r="F27" s="52"/>
      <c r="G27" s="36"/>
      <c r="H27" s="201">
        <v>5</v>
      </c>
      <c r="I27" s="201"/>
      <c r="J27" s="201"/>
      <c r="K27" s="201"/>
      <c r="L27" s="201"/>
      <c r="M27" s="201"/>
      <c r="N27" s="201"/>
      <c r="O27" s="208"/>
      <c r="P27" s="208"/>
      <c r="Q27" s="208"/>
      <c r="R27" s="208"/>
      <c r="S27" s="208"/>
      <c r="T27" s="208"/>
      <c r="U27" s="56"/>
      <c r="V27" s="52" t="e">
        <f>IF((G27+H27+I27+J27+K27+L27+M27+N27+O27+P27+Q27+R27+S27+T27+U27)&lt;&gt;0,(#REF!+G27+H27+I27+J27+K27+L27+M27+N27+O27+P27+Q27+R27+S27+T27+U27),"")</f>
        <v>#REF!</v>
      </c>
      <c r="W27" s="65" t="e">
        <f>IF((G27+H27+I27+J27)&lt;&gt;0,(4.07*J27-7.6*G27-6.72*H27-1.43*I27)*100/(100-#REF!),"")</f>
        <v>#REF!</v>
      </c>
      <c r="X27" s="136">
        <f t="shared" si="15"/>
        <v>0</v>
      </c>
      <c r="Y27" s="136" t="str">
        <f t="shared" si="16"/>
        <v/>
      </c>
      <c r="Z27" s="60">
        <f t="shared" si="17"/>
        <v>0</v>
      </c>
      <c r="AA27" s="60">
        <f t="shared" si="18"/>
        <v>0</v>
      </c>
      <c r="AB27" s="304">
        <v>70</v>
      </c>
      <c r="AC27" s="134" t="str">
        <f t="shared" si="19"/>
        <v/>
      </c>
      <c r="AD27" s="15"/>
      <c r="AE27" s="16"/>
      <c r="AF27" s="46"/>
      <c r="AH27" s="290"/>
      <c r="AI27" s="127"/>
      <c r="AJ27" s="121"/>
      <c r="AK27" s="102"/>
      <c r="AL27" s="122"/>
      <c r="AM27" s="98"/>
      <c r="AN27" s="98"/>
      <c r="AO27" s="98"/>
      <c r="AP27" s="98"/>
      <c r="AQ27" s="98"/>
      <c r="AR27" s="98"/>
      <c r="AS27" s="98"/>
      <c r="AT27" s="99"/>
      <c r="CB27" s="10" t="s">
        <v>154</v>
      </c>
      <c r="CE27" s="10" t="s">
        <v>154</v>
      </c>
      <c r="CG27" s="10" t="s">
        <v>154</v>
      </c>
      <c r="CH27" s="10" t="s">
        <v>154</v>
      </c>
    </row>
    <row r="28" spans="3:226" s="10" customFormat="1" ht="14.25" customHeight="1">
      <c r="C28" s="250">
        <f t="shared" si="20"/>
        <v>43743</v>
      </c>
      <c r="D28" s="424">
        <v>0.75</v>
      </c>
      <c r="E28" s="52">
        <v>7</v>
      </c>
      <c r="F28" s="52"/>
      <c r="G28" s="36"/>
      <c r="H28" s="201"/>
      <c r="I28" s="201"/>
      <c r="J28" s="201"/>
      <c r="K28" s="201"/>
      <c r="L28" s="201"/>
      <c r="M28" s="201"/>
      <c r="N28" s="201"/>
      <c r="O28" s="208"/>
      <c r="P28" s="208"/>
      <c r="Q28" s="208"/>
      <c r="R28" s="208"/>
      <c r="S28" s="208"/>
      <c r="T28" s="208"/>
      <c r="U28" s="56"/>
      <c r="V28" s="52" t="str">
        <f>IF((G28+H28+I28+J28+K28+L28+M28+N28+O28+P28+Q28+R28+S28+T28+U28)&lt;&gt;0,(#REF!+G28+H28+I28+J28+K28+L28+M28+N28+O28+P28+Q28+R28+S28+T28+U28),"")</f>
        <v/>
      </c>
      <c r="W28" s="65" t="str">
        <f>IF((G28+H28+I28+J28)&lt;&gt;0,(4.07*J28-7.6*G28-6.72*H28-1.43*I28)*100/(100-#REF!),"")</f>
        <v/>
      </c>
      <c r="X28" s="136" t="str">
        <f t="shared" si="15"/>
        <v/>
      </c>
      <c r="Y28" s="136" t="str">
        <f t="shared" si="16"/>
        <v/>
      </c>
      <c r="Z28" s="60" t="str">
        <f t="shared" si="17"/>
        <v/>
      </c>
      <c r="AA28" s="60" t="str">
        <f t="shared" si="18"/>
        <v/>
      </c>
      <c r="AB28" s="304">
        <v>70</v>
      </c>
      <c r="AC28" s="134" t="str">
        <f t="shared" si="19"/>
        <v/>
      </c>
      <c r="AD28" s="15"/>
      <c r="AE28" s="16"/>
      <c r="AF28" s="46"/>
      <c r="AH28" s="101"/>
      <c r="AI28" s="127"/>
      <c r="AJ28" s="121"/>
      <c r="AK28" s="102"/>
      <c r="AL28" s="122"/>
      <c r="AM28" s="98"/>
      <c r="AN28" s="98"/>
      <c r="AO28" s="98"/>
      <c r="AP28" s="98"/>
      <c r="AQ28" s="98"/>
      <c r="AR28" s="98"/>
      <c r="AS28" s="98"/>
      <c r="AT28" s="99"/>
      <c r="CB28" s="10" t="s">
        <v>154</v>
      </c>
      <c r="CE28" s="10" t="s">
        <v>154</v>
      </c>
      <c r="CG28" s="10" t="s">
        <v>154</v>
      </c>
      <c r="CH28" s="10" t="s">
        <v>154</v>
      </c>
    </row>
    <row r="29" spans="3:226" s="10" customFormat="1" ht="13.5" customHeight="1">
      <c r="C29" s="250">
        <f t="shared" si="20"/>
        <v>43743</v>
      </c>
      <c r="D29" s="424">
        <v>0.79166666666666696</v>
      </c>
      <c r="E29" s="52">
        <v>8</v>
      </c>
      <c r="F29" s="52"/>
      <c r="G29" s="36"/>
      <c r="H29" s="201"/>
      <c r="I29" s="201"/>
      <c r="J29" s="201"/>
      <c r="K29" s="201"/>
      <c r="L29" s="201"/>
      <c r="M29" s="316"/>
      <c r="N29" s="201"/>
      <c r="O29" s="208"/>
      <c r="P29" s="208"/>
      <c r="Q29" s="208"/>
      <c r="R29" s="208"/>
      <c r="S29" s="208"/>
      <c r="T29" s="208"/>
      <c r="U29" s="56"/>
      <c r="V29" s="52" t="str">
        <f>IF((G29+H29+I29+J29+K29+L29+M29+N29+O29+P29+Q29+R29+S29+T29+U29)&lt;&gt;0,(#REF!+G29+H29+I29+J29+K29+L29+M29+N29+O29+P29+Q29+R29+S29+T29+U29),"")</f>
        <v/>
      </c>
      <c r="W29" s="65" t="str">
        <f>IF((G29+H29+I29+J29)&lt;&gt;0,(4.07*J29-7.6*G29-6.72*H29-1.43*I29)*100/(100-#REF!),"")</f>
        <v/>
      </c>
      <c r="X29" s="136" t="str">
        <f t="shared" si="15"/>
        <v/>
      </c>
      <c r="Y29" s="136" t="str">
        <f t="shared" si="16"/>
        <v/>
      </c>
      <c r="Z29" s="60" t="str">
        <f t="shared" si="17"/>
        <v/>
      </c>
      <c r="AA29" s="60" t="str">
        <f t="shared" si="18"/>
        <v/>
      </c>
      <c r="AB29" s="304">
        <v>70</v>
      </c>
      <c r="AC29" s="134" t="str">
        <f t="shared" si="19"/>
        <v/>
      </c>
      <c r="AD29" s="15"/>
      <c r="AE29" s="16"/>
      <c r="AF29" s="46"/>
      <c r="AH29" s="101"/>
      <c r="AI29" s="127"/>
      <c r="AJ29" s="121"/>
      <c r="AK29" s="102"/>
      <c r="AL29" s="122"/>
      <c r="AM29" s="98"/>
      <c r="AN29" s="98"/>
      <c r="AO29" s="98"/>
      <c r="AP29" s="98"/>
      <c r="AQ29" s="98"/>
      <c r="AR29" s="98"/>
      <c r="AS29" s="98"/>
      <c r="AT29" s="99"/>
      <c r="CB29" s="10" t="s">
        <v>154</v>
      </c>
      <c r="CE29" s="10" t="s">
        <v>154</v>
      </c>
      <c r="CG29" s="10" t="s">
        <v>154</v>
      </c>
      <c r="CH29" s="10" t="s">
        <v>154</v>
      </c>
    </row>
    <row r="30" spans="3:226" s="10" customFormat="1" ht="13.5" customHeight="1">
      <c r="C30" s="250">
        <f t="shared" si="20"/>
        <v>43743</v>
      </c>
      <c r="D30" s="424">
        <v>0.83333333333333304</v>
      </c>
      <c r="E30" s="52">
        <v>8</v>
      </c>
      <c r="F30" s="52"/>
      <c r="G30" s="36"/>
      <c r="H30" s="201"/>
      <c r="I30" s="201"/>
      <c r="J30" s="201"/>
      <c r="K30" s="201"/>
      <c r="L30" s="201"/>
      <c r="M30" s="201"/>
      <c r="N30" s="201"/>
      <c r="O30" s="208"/>
      <c r="P30" s="208"/>
      <c r="Q30" s="208"/>
      <c r="R30" s="208"/>
      <c r="S30" s="208"/>
      <c r="T30" s="208"/>
      <c r="U30" s="56"/>
      <c r="V30" s="52" t="str">
        <f>IF((G30+H30+I30+J30+K30+L30+M30+N30+O30+P30+Q30+R30+S30+T30+U30)&lt;&gt;0,(#REF!+G30+H30+I30+J30+K30+L30+M30+N30+O30+P30+Q30+R30+S30+T30+U30),"")</f>
        <v/>
      </c>
      <c r="W30" s="65" t="str">
        <f>IF((G30+H30+I30+J30)&lt;&gt;0,(4.07*J30-7.6*G30-6.72*H30-1.43*I30)*100/(100-#REF!),"")</f>
        <v/>
      </c>
      <c r="X30" s="136" t="str">
        <f t="shared" si="15"/>
        <v/>
      </c>
      <c r="Y30" s="136" t="str">
        <f t="shared" si="16"/>
        <v/>
      </c>
      <c r="Z30" s="60" t="str">
        <f t="shared" si="17"/>
        <v/>
      </c>
      <c r="AA30" s="60" t="str">
        <f t="shared" si="18"/>
        <v/>
      </c>
      <c r="AB30" s="304">
        <v>70</v>
      </c>
      <c r="AC30" s="135" t="str">
        <f t="shared" si="19"/>
        <v/>
      </c>
      <c r="AD30" s="15"/>
      <c r="AE30" s="16"/>
      <c r="AF30" s="46"/>
      <c r="AH30" s="101"/>
      <c r="AI30" s="127"/>
      <c r="AJ30" s="121"/>
      <c r="AK30" s="102"/>
      <c r="AL30" s="122"/>
      <c r="AM30" s="98"/>
      <c r="AN30" s="98"/>
      <c r="AO30" s="98"/>
      <c r="AP30" s="98"/>
      <c r="AQ30" s="98"/>
      <c r="AR30" s="98"/>
      <c r="AS30" s="98"/>
      <c r="AT30" s="99"/>
      <c r="CB30" s="10" t="s">
        <v>154</v>
      </c>
      <c r="CE30" s="10" t="s">
        <v>154</v>
      </c>
      <c r="CG30" s="10" t="s">
        <v>154</v>
      </c>
      <c r="CH30" s="10" t="s">
        <v>154</v>
      </c>
    </row>
    <row r="31" spans="3:226" s="10" customFormat="1" ht="13.5" customHeight="1">
      <c r="C31" s="250">
        <f t="shared" si="20"/>
        <v>43743</v>
      </c>
      <c r="D31" s="424">
        <v>0.875</v>
      </c>
      <c r="E31" s="52">
        <v>9</v>
      </c>
      <c r="F31" s="52"/>
      <c r="G31" s="36"/>
      <c r="H31" s="201"/>
      <c r="I31" s="201"/>
      <c r="J31" s="201"/>
      <c r="K31" s="316"/>
      <c r="L31" s="201"/>
      <c r="M31" s="201"/>
      <c r="N31" s="201"/>
      <c r="O31" s="208"/>
      <c r="P31" s="208"/>
      <c r="Q31" s="208"/>
      <c r="R31" s="208"/>
      <c r="S31" s="208"/>
      <c r="T31" s="208"/>
      <c r="U31" s="56"/>
      <c r="V31" s="52" t="str">
        <f>IF((G31+H31+I31+J31+K31+L31+M31+N31+O31+P31+Q31+R31+S31+T31+U31)&lt;&gt;0,(#REF!+G31+H31+I31+J31+K31+L31+M31+N31+O31+P31+Q31+R31+S31+T31+U31),"")</f>
        <v/>
      </c>
      <c r="W31" s="65" t="str">
        <f>IF((G31+H31+I31+J31)&lt;&gt;0,(4.07*J31-7.6*G31-6.72*H31-1.43*I31)*100/(100-#REF!),"")</f>
        <v/>
      </c>
      <c r="X31" s="136" t="str">
        <f t="shared" si="15"/>
        <v/>
      </c>
      <c r="Y31" s="136" t="str">
        <f t="shared" si="16"/>
        <v/>
      </c>
      <c r="Z31" s="60" t="str">
        <f t="shared" si="17"/>
        <v/>
      </c>
      <c r="AA31" s="60" t="str">
        <f t="shared" si="18"/>
        <v/>
      </c>
      <c r="AB31" s="304">
        <v>70</v>
      </c>
      <c r="AC31" s="135" t="str">
        <f t="shared" si="19"/>
        <v/>
      </c>
      <c r="AD31" s="15"/>
      <c r="AE31" s="16"/>
      <c r="AF31" s="46"/>
      <c r="AH31" s="101"/>
      <c r="AI31" s="127"/>
      <c r="AJ31" s="121"/>
      <c r="AK31" s="102"/>
      <c r="AL31" s="122"/>
      <c r="AM31" s="98"/>
      <c r="AN31" s="98"/>
      <c r="AO31" s="98"/>
      <c r="AP31" s="98"/>
      <c r="AQ31" s="98"/>
      <c r="AR31" s="98"/>
      <c r="AS31" s="98"/>
      <c r="AT31" s="99"/>
      <c r="CB31" s="10" t="s">
        <v>154</v>
      </c>
      <c r="CE31" s="10" t="s">
        <v>154</v>
      </c>
      <c r="CG31" s="10" t="s">
        <v>154</v>
      </c>
      <c r="CH31" s="10" t="s">
        <v>154</v>
      </c>
    </row>
    <row r="32" spans="3:226" s="10" customFormat="1" ht="13.5" customHeight="1">
      <c r="C32" s="250">
        <f t="shared" si="20"/>
        <v>43743</v>
      </c>
      <c r="D32" s="424">
        <v>0.91666666666666696</v>
      </c>
      <c r="E32" s="52">
        <v>0</v>
      </c>
      <c r="F32" s="52"/>
      <c r="G32" s="36"/>
      <c r="H32" s="201"/>
      <c r="I32" s="201"/>
      <c r="J32" s="201"/>
      <c r="K32" s="201"/>
      <c r="L32" s="201"/>
      <c r="M32" s="201"/>
      <c r="N32" s="201"/>
      <c r="O32" s="208"/>
      <c r="P32" s="208"/>
      <c r="Q32" s="208"/>
      <c r="R32" s="208"/>
      <c r="S32" s="208"/>
      <c r="T32" s="208"/>
      <c r="U32" s="56"/>
      <c r="V32" s="52" t="str">
        <f>IF((G32+H32+I32+J32+K32+L32+M32+N32+O32+P32+Q32+R32+S32+T32+U32)&lt;&gt;0,(#REF!+G32+H32+I32+J32+K32+L32+M32+N32+O32+P32+Q32+R32+S32+T32+U32),"")</f>
        <v/>
      </c>
      <c r="W32" s="65" t="str">
        <f>IF((G32+H32+I32+J32)&lt;&gt;0,(4.07*J32-7.6*G32-6.72*H32-1.43*I32)*100/(100-#REF!),"")</f>
        <v/>
      </c>
      <c r="X32" s="136" t="str">
        <f t="shared" si="15"/>
        <v/>
      </c>
      <c r="Y32" s="136" t="str">
        <f t="shared" si="16"/>
        <v/>
      </c>
      <c r="Z32" s="60" t="str">
        <f t="shared" si="17"/>
        <v/>
      </c>
      <c r="AA32" s="60" t="str">
        <f t="shared" si="18"/>
        <v/>
      </c>
      <c r="AB32" s="304">
        <v>70</v>
      </c>
      <c r="AC32" s="135" t="str">
        <f t="shared" si="19"/>
        <v/>
      </c>
      <c r="AD32" s="15"/>
      <c r="AE32" s="16"/>
      <c r="AF32" s="46"/>
      <c r="AH32" s="101"/>
      <c r="AI32" s="127"/>
      <c r="AJ32" s="121"/>
      <c r="AK32" s="102"/>
      <c r="AL32" s="122"/>
      <c r="AM32" s="98"/>
      <c r="AN32" s="98"/>
      <c r="AO32" s="98"/>
      <c r="AP32" s="98"/>
      <c r="AQ32" s="98"/>
      <c r="AR32" s="98"/>
      <c r="AS32" s="98"/>
      <c r="AT32" s="99"/>
      <c r="CB32" s="10" t="s">
        <v>154</v>
      </c>
      <c r="CE32" s="10" t="s">
        <v>154</v>
      </c>
      <c r="CG32" s="10" t="s">
        <v>154</v>
      </c>
      <c r="CH32" s="10" t="s">
        <v>154</v>
      </c>
    </row>
    <row r="33" spans="3:86" s="10" customFormat="1" ht="13.5" customHeight="1" thickBot="1">
      <c r="C33" s="252">
        <f t="shared" si="20"/>
        <v>43743</v>
      </c>
      <c r="D33" s="430">
        <v>0.95833333333333304</v>
      </c>
      <c r="E33" s="212">
        <v>456</v>
      </c>
      <c r="F33" s="212"/>
      <c r="G33" s="37"/>
      <c r="H33" s="19"/>
      <c r="I33" s="24"/>
      <c r="J33" s="24"/>
      <c r="K33" s="19"/>
      <c r="L33" s="19"/>
      <c r="M33" s="19"/>
      <c r="N33" s="19"/>
      <c r="O33" s="24"/>
      <c r="P33" s="57"/>
      <c r="Q33" s="57"/>
      <c r="R33" s="57"/>
      <c r="S33" s="57"/>
      <c r="T33" s="24"/>
      <c r="U33" s="25"/>
      <c r="V33" s="212" t="str">
        <f>IF((G33+H33+I33+J33+K33+L33+M33+N33+O33+P33+Q33+R33+S33+T33+U33)&lt;&gt;0,(#REF!+G33+H33+I33+J33+K33+L33+M33+N33+O33+P33+Q33+R33+S33+T33+U33),"")</f>
        <v/>
      </c>
      <c r="W33" s="66" t="str">
        <f>IF((G33+H33+I33+J33)&lt;&gt;0,(4.07*J33-7.6*G33-6.72*H33-1.43*I33)*100/(100-#REF!),"")</f>
        <v/>
      </c>
      <c r="X33" s="137" t="str">
        <f t="shared" si="15"/>
        <v/>
      </c>
      <c r="Y33" s="137" t="str">
        <f t="shared" si="16"/>
        <v/>
      </c>
      <c r="Z33" s="62" t="str">
        <f t="shared" si="17"/>
        <v/>
      </c>
      <c r="AA33" s="62" t="str">
        <f t="shared" si="18"/>
        <v/>
      </c>
      <c r="AB33" s="359">
        <v>70</v>
      </c>
      <c r="AC33" s="167" t="str">
        <f t="shared" si="19"/>
        <v/>
      </c>
      <c r="AD33" s="22"/>
      <c r="AE33" s="23"/>
      <c r="AF33" s="47"/>
      <c r="AH33" s="119"/>
      <c r="AI33" s="128"/>
      <c r="AJ33" s="129"/>
      <c r="AK33" s="118"/>
      <c r="AL33" s="130"/>
      <c r="AM33" s="120"/>
      <c r="AN33" s="120"/>
      <c r="AO33" s="120"/>
      <c r="AP33" s="120"/>
      <c r="AQ33" s="120"/>
      <c r="AR33" s="120"/>
      <c r="AS33" s="120"/>
      <c r="AT33" s="123"/>
      <c r="CB33" s="10" t="s">
        <v>154</v>
      </c>
      <c r="CE33" s="10" t="s">
        <v>154</v>
      </c>
      <c r="CG33" s="10" t="s">
        <v>154</v>
      </c>
      <c r="CH33" s="10" t="s">
        <v>154</v>
      </c>
    </row>
    <row r="34" spans="3:86">
      <c r="D34" s="431"/>
      <c r="M34" s="71"/>
      <c r="AB34" s="30"/>
    </row>
    <row r="35" spans="3:86">
      <c r="H35" s="32" t="s">
        <v>36</v>
      </c>
      <c r="AB35" s="30" t="s">
        <v>36</v>
      </c>
      <c r="AS35" s="74" t="s">
        <v>36</v>
      </c>
    </row>
    <row r="36" spans="3:86">
      <c r="M36" s="71"/>
      <c r="AB36" s="30"/>
      <c r="AM36" s="74" t="s">
        <v>36</v>
      </c>
    </row>
    <row r="37" spans="3:86">
      <c r="H37" s="30"/>
      <c r="I37" s="30"/>
      <c r="J37" s="30"/>
      <c r="M37" s="30"/>
      <c r="N37" s="30"/>
      <c r="O37" s="30"/>
      <c r="P37" s="30"/>
      <c r="Q37" s="30"/>
      <c r="R37" s="30"/>
      <c r="S37" s="30"/>
      <c r="T37" s="30"/>
      <c r="U37" s="30"/>
    </row>
    <row r="38" spans="3:86">
      <c r="H38" s="30"/>
      <c r="I38" s="30"/>
      <c r="J38" s="30"/>
      <c r="M38" s="30"/>
      <c r="N38" s="30"/>
      <c r="O38" s="30"/>
      <c r="P38" s="30"/>
      <c r="Q38" s="30"/>
      <c r="R38" s="30"/>
      <c r="S38" s="30"/>
      <c r="T38" s="30"/>
      <c r="U38" s="30"/>
    </row>
    <row r="39" spans="3:86">
      <c r="M39" s="71"/>
    </row>
    <row r="44" spans="3:86">
      <c r="U44" s="30"/>
      <c r="W44" s="84"/>
      <c r="Y44" s="31"/>
      <c r="AF44" s="9"/>
      <c r="AG44" s="74"/>
      <c r="AT44" s="9"/>
    </row>
    <row r="50" spans="21:21">
      <c r="U50" s="31" t="s">
        <v>107</v>
      </c>
    </row>
    <row r="56" spans="21:21">
      <c r="U56" s="31">
        <v>6</v>
      </c>
    </row>
    <row r="279" spans="4:23">
      <c r="D279" s="2">
        <v>3.66</v>
      </c>
      <c r="G279" s="32">
        <v>5.91</v>
      </c>
      <c r="I279" s="32">
        <v>3.05</v>
      </c>
      <c r="N279" s="31">
        <v>5.71</v>
      </c>
      <c r="V279" s="30">
        <v>2.0099999999999998</v>
      </c>
      <c r="W279" s="31">
        <v>0.94</v>
      </c>
    </row>
  </sheetData>
  <mergeCells count="3">
    <mergeCell ref="X7:Y7"/>
    <mergeCell ref="AD8:AE8"/>
    <mergeCell ref="E8:V8"/>
  </mergeCells>
  <phoneticPr fontId="0" type="noConversion"/>
  <conditionalFormatting sqref="K25 K17 K33">
    <cfRule type="cellIs" dxfId="5" priority="20" stopIfTrue="1" operator="greaterThan">
      <formula>1.2</formula>
    </cfRule>
    <cfRule type="cellIs" dxfId="4" priority="21" stopIfTrue="1" operator="greaterThan">
      <formula>1.05</formula>
    </cfRule>
  </conditionalFormatting>
  <conditionalFormatting sqref="L17 L13 L25 L15 L33">
    <cfRule type="cellIs" dxfId="3" priority="19" stopIfTrue="1" operator="greaterThan">
      <formula>0.35</formula>
    </cfRule>
  </conditionalFormatting>
  <printOptions gridLines="1" gridLinesSet="0"/>
  <pageMargins left="0.75" right="0.75" top="1" bottom="1" header="0.5" footer="0.5"/>
  <pageSetup paperSize="9" orientation="portrait" horizontalDpi="4294967292" verticalDpi="18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mport2PI">
                <anchor moveWithCells="1" sizeWithCells="1">
                  <from>
                    <xdr:col>0</xdr:col>
                    <xdr:colOff>85725</xdr:colOff>
                    <xdr:row>0</xdr:row>
                    <xdr:rowOff>47625</xdr:rowOff>
                  </from>
                  <to>
                    <xdr:col>0</xdr:col>
                    <xdr:colOff>1219200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>
    <tabColor indexed="10"/>
  </sheetPr>
  <dimension ref="A2:CH279"/>
  <sheetViews>
    <sheetView zoomScaleNormal="100" workbookViewId="0">
      <pane xSplit="2" ySplit="9" topLeftCell="C10" activePane="bottomRight" state="frozen"/>
      <selection activeCell="V279" sqref="V279"/>
      <selection pane="topRight" activeCell="V279" sqref="V279"/>
      <selection pane="bottomLeft" activeCell="V279" sqref="V279"/>
      <selection pane="bottomRight" activeCell="K18" sqref="K18"/>
    </sheetView>
  </sheetViews>
  <sheetFormatPr defaultColWidth="9.140625" defaultRowHeight="12.75"/>
  <cols>
    <col min="1" max="1" width="9.140625" style="9"/>
    <col min="2" max="2" width="25" style="2" customWidth="1"/>
    <col min="3" max="4" width="10.140625" style="30" customWidth="1"/>
    <col min="5" max="5" width="8.5703125" style="32" customWidth="1"/>
    <col min="6" max="8" width="7.85546875" style="32" customWidth="1"/>
    <col min="9" max="10" width="7.85546875" style="30" customWidth="1"/>
    <col min="11" max="19" width="7.85546875" style="31" customWidth="1"/>
    <col min="20" max="20" width="8.5703125" style="30" customWidth="1"/>
    <col min="21" max="21" width="10.28515625" style="31" customWidth="1"/>
    <col min="22" max="23" width="8.5703125" style="84" customWidth="1"/>
    <col min="24" max="26" width="8.5703125" style="31" customWidth="1"/>
    <col min="27" max="27" width="9.7109375" style="31" customWidth="1"/>
    <col min="28" max="29" width="9" style="31" customWidth="1"/>
    <col min="30" max="30" width="10.7109375" style="31" customWidth="1"/>
    <col min="31" max="31" width="8.7109375" style="9" customWidth="1"/>
    <col min="32" max="32" width="31" style="74" bestFit="1" customWidth="1"/>
    <col min="33" max="33" width="13.28515625" style="74" bestFit="1" customWidth="1"/>
    <col min="34" max="34" width="12" style="74" bestFit="1" customWidth="1"/>
    <col min="35" max="35" width="8.7109375" style="74" customWidth="1"/>
    <col min="36" max="36" width="9.42578125" style="74" bestFit="1" customWidth="1"/>
    <col min="37" max="37" width="13.5703125" style="74" customWidth="1"/>
    <col min="38" max="39" width="11.140625" style="74" customWidth="1"/>
    <col min="40" max="40" width="10.5703125" style="74" bestFit="1" customWidth="1"/>
    <col min="41" max="42" width="9.42578125" style="74" bestFit="1" customWidth="1"/>
    <col min="43" max="43" width="12.7109375" style="74" bestFit="1" customWidth="1"/>
    <col min="44" max="44" width="10.42578125" style="74" customWidth="1"/>
    <col min="45" max="16384" width="9.140625" style="9"/>
  </cols>
  <sheetData>
    <row r="2" spans="1:86" s="10" customFormat="1">
      <c r="A2" s="420"/>
      <c r="B2" s="408" t="s">
        <v>117</v>
      </c>
      <c r="C2" s="409">
        <f>COUNTIF(C10:C33,"&gt;0")</f>
        <v>0</v>
      </c>
      <c r="D2" s="409">
        <f>COUNTIF(D10:D33,"&gt;0")</f>
        <v>0</v>
      </c>
      <c r="E2" s="409">
        <f>COUNTIF(E10:E33,"&gt;0")</f>
        <v>0</v>
      </c>
      <c r="F2" s="409">
        <f t="shared" ref="F2:AA2" si="0">COUNTIF(F10:F33,"&gt;0")</f>
        <v>0</v>
      </c>
      <c r="G2" s="409">
        <f t="shared" si="0"/>
        <v>0</v>
      </c>
      <c r="H2" s="409">
        <f t="shared" si="0"/>
        <v>0</v>
      </c>
      <c r="I2" s="409">
        <f t="shared" si="0"/>
        <v>0</v>
      </c>
      <c r="J2" s="409">
        <f t="shared" si="0"/>
        <v>0</v>
      </c>
      <c r="K2" s="409">
        <f t="shared" si="0"/>
        <v>0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0</v>
      </c>
      <c r="P2" s="409">
        <f t="shared" si="0"/>
        <v>0</v>
      </c>
      <c r="Q2" s="409">
        <f t="shared" si="0"/>
        <v>0</v>
      </c>
      <c r="R2" s="409">
        <f t="shared" si="0"/>
        <v>0</v>
      </c>
      <c r="S2" s="409">
        <f t="shared" si="0"/>
        <v>0</v>
      </c>
      <c r="T2" s="409">
        <f t="shared" si="0"/>
        <v>0</v>
      </c>
      <c r="U2" s="409">
        <f t="shared" si="0"/>
        <v>0</v>
      </c>
      <c r="V2" s="409">
        <f t="shared" si="0"/>
        <v>0</v>
      </c>
      <c r="W2" s="409">
        <f t="shared" si="0"/>
        <v>0</v>
      </c>
      <c r="X2" s="409">
        <f t="shared" si="0"/>
        <v>0</v>
      </c>
      <c r="Y2" s="409">
        <f t="shared" si="0"/>
        <v>0</v>
      </c>
      <c r="Z2" s="409">
        <f t="shared" si="0"/>
        <v>24</v>
      </c>
      <c r="AA2" s="409">
        <f t="shared" si="0"/>
        <v>0</v>
      </c>
      <c r="AB2" s="409">
        <f>COUNTIF(AB10:AB33,"&gt;0")</f>
        <v>0</v>
      </c>
      <c r="AC2" s="409">
        <f>COUNTIF(AC10:AC33,"&gt;0")</f>
        <v>0</v>
      </c>
      <c r="AD2" s="409">
        <f>COUNTIF(AD10:AD33,"&gt;0")</f>
        <v>0</v>
      </c>
      <c r="AF2" s="94"/>
      <c r="AG2" s="94"/>
      <c r="AH2" s="94"/>
      <c r="AI2" s="94"/>
      <c r="AJ2" s="409">
        <f t="shared" ref="AJ2:AR2" si="1">COUNTIF(AJ10:AJ33,"&gt;0")</f>
        <v>0</v>
      </c>
      <c r="AK2" s="409">
        <f t="shared" si="1"/>
        <v>0</v>
      </c>
      <c r="AL2" s="409">
        <f t="shared" si="1"/>
        <v>0</v>
      </c>
      <c r="AM2" s="409">
        <f t="shared" si="1"/>
        <v>0</v>
      </c>
      <c r="AN2" s="409">
        <f t="shared" si="1"/>
        <v>0</v>
      </c>
      <c r="AO2" s="409">
        <f t="shared" si="1"/>
        <v>0</v>
      </c>
      <c r="AP2" s="409">
        <f t="shared" si="1"/>
        <v>0</v>
      </c>
      <c r="AQ2" s="409">
        <f t="shared" si="1"/>
        <v>0</v>
      </c>
      <c r="AR2" s="409">
        <f t="shared" si="1"/>
        <v>0</v>
      </c>
    </row>
    <row r="3" spans="1:86" s="10" customFormat="1">
      <c r="A3" s="394"/>
      <c r="B3" s="411" t="s">
        <v>118</v>
      </c>
      <c r="C3" s="409" t="e">
        <f>STDEV(C10:C33)</f>
        <v>#DIV/0!</v>
      </c>
      <c r="D3" s="409" t="e">
        <f>STDEV(D10:D33)</f>
        <v>#DIV/0!</v>
      </c>
      <c r="E3" s="409" t="e">
        <f>STDEV(E10:E33)</f>
        <v>#DIV/0!</v>
      </c>
      <c r="F3" s="409" t="e">
        <f t="shared" ref="F3:AA3" si="2">STDEV(F10:F33)</f>
        <v>#DIV/0!</v>
      </c>
      <c r="G3" s="409" t="e">
        <f t="shared" si="2"/>
        <v>#DIV/0!</v>
      </c>
      <c r="H3" s="409" t="e">
        <f t="shared" si="2"/>
        <v>#DIV/0!</v>
      </c>
      <c r="I3" s="409" t="e">
        <f t="shared" si="2"/>
        <v>#DIV/0!</v>
      </c>
      <c r="J3" s="409" t="e">
        <f t="shared" si="2"/>
        <v>#DIV/0!</v>
      </c>
      <c r="K3" s="409" t="e">
        <f t="shared" si="2"/>
        <v>#DIV/0!</v>
      </c>
      <c r="L3" s="409" t="e">
        <f t="shared" si="2"/>
        <v>#DIV/0!</v>
      </c>
      <c r="M3" s="409" t="e">
        <f t="shared" si="2"/>
        <v>#DIV/0!</v>
      </c>
      <c r="N3" s="409" t="e">
        <f t="shared" si="2"/>
        <v>#DIV/0!</v>
      </c>
      <c r="O3" s="409" t="e">
        <f t="shared" si="2"/>
        <v>#DIV/0!</v>
      </c>
      <c r="P3" s="409" t="e">
        <f t="shared" si="2"/>
        <v>#DIV/0!</v>
      </c>
      <c r="Q3" s="409" t="e">
        <f t="shared" si="2"/>
        <v>#DIV/0!</v>
      </c>
      <c r="R3" s="409" t="e">
        <f t="shared" si="2"/>
        <v>#DIV/0!</v>
      </c>
      <c r="S3" s="409" t="e">
        <f t="shared" si="2"/>
        <v>#DIV/0!</v>
      </c>
      <c r="T3" s="409" t="e">
        <f t="shared" si="2"/>
        <v>#DIV/0!</v>
      </c>
      <c r="U3" s="409" t="e">
        <f t="shared" si="2"/>
        <v>#DIV/0!</v>
      </c>
      <c r="V3" s="409" t="e">
        <f t="shared" si="2"/>
        <v>#DIV/0!</v>
      </c>
      <c r="W3" s="409" t="e">
        <f t="shared" si="2"/>
        <v>#DIV/0!</v>
      </c>
      <c r="X3" s="409" t="e">
        <f t="shared" si="2"/>
        <v>#DIV/0!</v>
      </c>
      <c r="Y3" s="409" t="e">
        <f t="shared" si="2"/>
        <v>#DIV/0!</v>
      </c>
      <c r="Z3" s="409">
        <f t="shared" si="2"/>
        <v>0</v>
      </c>
      <c r="AA3" s="409" t="e">
        <f t="shared" si="2"/>
        <v>#DIV/0!</v>
      </c>
      <c r="AB3" s="409" t="e">
        <f>STDEV(AB10:AB33)</f>
        <v>#DIV/0!</v>
      </c>
      <c r="AC3" s="409" t="e">
        <f>STDEV(AC10:AC33)</f>
        <v>#DIV/0!</v>
      </c>
      <c r="AD3" s="409" t="e">
        <f>STDEV(AD10:AD33)</f>
        <v>#DIV/0!</v>
      </c>
      <c r="AF3" s="94"/>
      <c r="AG3" s="94"/>
      <c r="AH3" s="94"/>
      <c r="AI3" s="94"/>
      <c r="AJ3" s="409" t="e">
        <f t="shared" ref="AJ3:AR3" si="3">STDEV(AJ10:AJ33)</f>
        <v>#DIV/0!</v>
      </c>
      <c r="AK3" s="409" t="e">
        <f t="shared" si="3"/>
        <v>#DIV/0!</v>
      </c>
      <c r="AL3" s="409" t="e">
        <f t="shared" si="3"/>
        <v>#DIV/0!</v>
      </c>
      <c r="AM3" s="409" t="e">
        <f t="shared" si="3"/>
        <v>#DIV/0!</v>
      </c>
      <c r="AN3" s="409" t="e">
        <f t="shared" si="3"/>
        <v>#DIV/0!</v>
      </c>
      <c r="AO3" s="409" t="e">
        <f t="shared" si="3"/>
        <v>#DIV/0!</v>
      </c>
      <c r="AP3" s="409" t="e">
        <f t="shared" si="3"/>
        <v>#DIV/0!</v>
      </c>
      <c r="AQ3" s="409" t="e">
        <f t="shared" si="3"/>
        <v>#DIV/0!</v>
      </c>
      <c r="AR3" s="409" t="e">
        <f t="shared" si="3"/>
        <v>#DIV/0!</v>
      </c>
    </row>
    <row r="4" spans="1:86" s="10" customFormat="1">
      <c r="A4" s="394"/>
      <c r="B4" s="411" t="s">
        <v>119</v>
      </c>
      <c r="C4" s="409" t="e">
        <f>AVERAGE(C10:C33)</f>
        <v>#DIV/0!</v>
      </c>
      <c r="D4" s="409" t="e">
        <f>AVERAGE(D10:D33)</f>
        <v>#DIV/0!</v>
      </c>
      <c r="E4" s="409" t="e">
        <f>AVERAGE(E10:E33)</f>
        <v>#DIV/0!</v>
      </c>
      <c r="F4" s="409" t="e">
        <f t="shared" ref="F4:AA4" si="4">AVERAGE(F10:F33)</f>
        <v>#DIV/0!</v>
      </c>
      <c r="G4" s="409" t="e">
        <f t="shared" si="4"/>
        <v>#DIV/0!</v>
      </c>
      <c r="H4" s="409" t="e">
        <f t="shared" si="4"/>
        <v>#DIV/0!</v>
      </c>
      <c r="I4" s="409" t="e">
        <f t="shared" si="4"/>
        <v>#DIV/0!</v>
      </c>
      <c r="J4" s="409" t="e">
        <f t="shared" si="4"/>
        <v>#DIV/0!</v>
      </c>
      <c r="K4" s="409" t="e">
        <f t="shared" si="4"/>
        <v>#DIV/0!</v>
      </c>
      <c r="L4" s="409" t="e">
        <f t="shared" si="4"/>
        <v>#DIV/0!</v>
      </c>
      <c r="M4" s="409" t="e">
        <f t="shared" si="4"/>
        <v>#DIV/0!</v>
      </c>
      <c r="N4" s="409" t="e">
        <f t="shared" si="4"/>
        <v>#DIV/0!</v>
      </c>
      <c r="O4" s="409" t="e">
        <f t="shared" si="4"/>
        <v>#DIV/0!</v>
      </c>
      <c r="P4" s="409" t="e">
        <f t="shared" si="4"/>
        <v>#DIV/0!</v>
      </c>
      <c r="Q4" s="409" t="e">
        <f t="shared" si="4"/>
        <v>#DIV/0!</v>
      </c>
      <c r="R4" s="409" t="e">
        <f t="shared" si="4"/>
        <v>#DIV/0!</v>
      </c>
      <c r="S4" s="409" t="e">
        <f t="shared" si="4"/>
        <v>#DIV/0!</v>
      </c>
      <c r="T4" s="409" t="e">
        <f t="shared" si="4"/>
        <v>#DIV/0!</v>
      </c>
      <c r="U4" s="409" t="e">
        <f t="shared" si="4"/>
        <v>#DIV/0!</v>
      </c>
      <c r="V4" s="409" t="e">
        <f t="shared" si="4"/>
        <v>#DIV/0!</v>
      </c>
      <c r="W4" s="409" t="e">
        <f t="shared" si="4"/>
        <v>#DIV/0!</v>
      </c>
      <c r="X4" s="409" t="e">
        <f t="shared" si="4"/>
        <v>#DIV/0!</v>
      </c>
      <c r="Y4" s="409" t="e">
        <f t="shared" si="4"/>
        <v>#DIV/0!</v>
      </c>
      <c r="Z4" s="409">
        <f t="shared" si="4"/>
        <v>70</v>
      </c>
      <c r="AA4" s="409" t="e">
        <f t="shared" si="4"/>
        <v>#DIV/0!</v>
      </c>
      <c r="AB4" s="409" t="e">
        <f>AVERAGE(AB10:AB33)</f>
        <v>#DIV/0!</v>
      </c>
      <c r="AC4" s="409" t="e">
        <f>AVERAGE(AC10:AC33)</f>
        <v>#DIV/0!</v>
      </c>
      <c r="AD4" s="409" t="e">
        <f>AVERAGE(AD10:AD33)</f>
        <v>#DIV/0!</v>
      </c>
      <c r="AF4" s="94"/>
      <c r="AG4" s="94"/>
      <c r="AH4" s="94"/>
      <c r="AI4" s="94"/>
      <c r="AJ4" s="409" t="e">
        <f t="shared" ref="AJ4:AR4" si="5">AVERAGE(AJ10:AJ33)</f>
        <v>#DIV/0!</v>
      </c>
      <c r="AK4" s="409" t="e">
        <f t="shared" si="5"/>
        <v>#DIV/0!</v>
      </c>
      <c r="AL4" s="409" t="e">
        <f t="shared" si="5"/>
        <v>#DIV/0!</v>
      </c>
      <c r="AM4" s="409" t="e">
        <f t="shared" si="5"/>
        <v>#DIV/0!</v>
      </c>
      <c r="AN4" s="409" t="e">
        <f t="shared" si="5"/>
        <v>#DIV/0!</v>
      </c>
      <c r="AO4" s="409" t="e">
        <f t="shared" si="5"/>
        <v>#DIV/0!</v>
      </c>
      <c r="AP4" s="409" t="e">
        <f t="shared" si="5"/>
        <v>#DIV/0!</v>
      </c>
      <c r="AQ4" s="409" t="e">
        <f t="shared" si="5"/>
        <v>#DIV/0!</v>
      </c>
      <c r="AR4" s="409" t="e">
        <f t="shared" si="5"/>
        <v>#DIV/0!</v>
      </c>
      <c r="AU4" s="421"/>
    </row>
    <row r="5" spans="1:86" s="10" customFormat="1">
      <c r="A5" s="394"/>
      <c r="B5" s="422" t="s">
        <v>120</v>
      </c>
      <c r="C5" s="409">
        <f>MIN(C10:C33)</f>
        <v>0</v>
      </c>
      <c r="D5" s="409">
        <f>MIN(D10:D33)</f>
        <v>0</v>
      </c>
      <c r="E5" s="409">
        <f>MIN(E10:E33)</f>
        <v>0</v>
      </c>
      <c r="F5" s="409">
        <f t="shared" ref="F5:AA5" si="6">MIN(F10:F33)</f>
        <v>0</v>
      </c>
      <c r="G5" s="409">
        <f t="shared" si="6"/>
        <v>0</v>
      </c>
      <c r="H5" s="409">
        <f t="shared" si="6"/>
        <v>0</v>
      </c>
      <c r="I5" s="409">
        <f t="shared" si="6"/>
        <v>0</v>
      </c>
      <c r="J5" s="409">
        <f t="shared" si="6"/>
        <v>0</v>
      </c>
      <c r="K5" s="409">
        <f t="shared" si="6"/>
        <v>0</v>
      </c>
      <c r="L5" s="409">
        <f t="shared" si="6"/>
        <v>0</v>
      </c>
      <c r="M5" s="409">
        <f t="shared" si="6"/>
        <v>0</v>
      </c>
      <c r="N5" s="409">
        <f t="shared" si="6"/>
        <v>0</v>
      </c>
      <c r="O5" s="409">
        <f t="shared" si="6"/>
        <v>0</v>
      </c>
      <c r="P5" s="409">
        <f t="shared" si="6"/>
        <v>0</v>
      </c>
      <c r="Q5" s="409">
        <f t="shared" si="6"/>
        <v>0</v>
      </c>
      <c r="R5" s="409">
        <f t="shared" si="6"/>
        <v>0</v>
      </c>
      <c r="S5" s="409">
        <f t="shared" si="6"/>
        <v>0</v>
      </c>
      <c r="T5" s="409">
        <f t="shared" si="6"/>
        <v>0</v>
      </c>
      <c r="U5" s="409">
        <f t="shared" si="6"/>
        <v>0</v>
      </c>
      <c r="V5" s="409">
        <f t="shared" si="6"/>
        <v>0</v>
      </c>
      <c r="W5" s="409">
        <f t="shared" si="6"/>
        <v>0</v>
      </c>
      <c r="X5" s="409">
        <f t="shared" si="6"/>
        <v>0</v>
      </c>
      <c r="Y5" s="409">
        <f t="shared" si="6"/>
        <v>0</v>
      </c>
      <c r="Z5" s="409">
        <f t="shared" si="6"/>
        <v>70</v>
      </c>
      <c r="AA5" s="409">
        <f t="shared" si="6"/>
        <v>0</v>
      </c>
      <c r="AB5" s="409">
        <f>MIN(AB10:AB33)</f>
        <v>0</v>
      </c>
      <c r="AC5" s="409">
        <f>MIN(AC10:AC33)</f>
        <v>0</v>
      </c>
      <c r="AD5" s="409">
        <f>MIN(AD10:AD33)</f>
        <v>0</v>
      </c>
      <c r="AF5" s="94"/>
      <c r="AG5" s="94"/>
      <c r="AH5" s="94"/>
      <c r="AI5" s="94"/>
      <c r="AJ5" s="409">
        <f t="shared" ref="AJ5:AR5" si="7">MIN(AJ10:AJ33)</f>
        <v>0</v>
      </c>
      <c r="AK5" s="409">
        <f t="shared" si="7"/>
        <v>0</v>
      </c>
      <c r="AL5" s="409">
        <f t="shared" si="7"/>
        <v>0</v>
      </c>
      <c r="AM5" s="409">
        <f t="shared" si="7"/>
        <v>0</v>
      </c>
      <c r="AN5" s="409">
        <f t="shared" si="7"/>
        <v>0</v>
      </c>
      <c r="AO5" s="409">
        <f t="shared" si="7"/>
        <v>0</v>
      </c>
      <c r="AP5" s="409">
        <f t="shared" si="7"/>
        <v>0</v>
      </c>
      <c r="AQ5" s="409">
        <f t="shared" si="7"/>
        <v>0</v>
      </c>
      <c r="AR5" s="409">
        <f t="shared" si="7"/>
        <v>0</v>
      </c>
    </row>
    <row r="6" spans="1:86" s="10" customFormat="1" ht="13.5" thickBot="1">
      <c r="A6" s="394"/>
      <c r="B6" s="422" t="s">
        <v>121</v>
      </c>
      <c r="C6" s="409">
        <f>MAX(C10:C33)</f>
        <v>0</v>
      </c>
      <c r="D6" s="409">
        <f>MAX(D10:D33)</f>
        <v>0</v>
      </c>
      <c r="E6" s="409">
        <f>MAX(E10:E33)</f>
        <v>0</v>
      </c>
      <c r="F6" s="409">
        <f t="shared" ref="F6:AA6" si="8">MAX(F10:F33)</f>
        <v>0</v>
      </c>
      <c r="G6" s="409">
        <f t="shared" si="8"/>
        <v>0</v>
      </c>
      <c r="H6" s="409">
        <f t="shared" si="8"/>
        <v>0</v>
      </c>
      <c r="I6" s="409">
        <f t="shared" si="8"/>
        <v>0</v>
      </c>
      <c r="J6" s="409">
        <f t="shared" si="8"/>
        <v>0</v>
      </c>
      <c r="K6" s="409">
        <f t="shared" si="8"/>
        <v>0</v>
      </c>
      <c r="L6" s="409">
        <f t="shared" si="8"/>
        <v>0</v>
      </c>
      <c r="M6" s="409">
        <f t="shared" si="8"/>
        <v>0</v>
      </c>
      <c r="N6" s="409">
        <f t="shared" si="8"/>
        <v>0</v>
      </c>
      <c r="O6" s="409">
        <f t="shared" si="8"/>
        <v>0</v>
      </c>
      <c r="P6" s="409">
        <f t="shared" si="8"/>
        <v>0</v>
      </c>
      <c r="Q6" s="409">
        <f t="shared" si="8"/>
        <v>0</v>
      </c>
      <c r="R6" s="409">
        <f t="shared" si="8"/>
        <v>0</v>
      </c>
      <c r="S6" s="409">
        <f t="shared" si="8"/>
        <v>0</v>
      </c>
      <c r="T6" s="409">
        <f t="shared" si="8"/>
        <v>0</v>
      </c>
      <c r="U6" s="409">
        <f t="shared" si="8"/>
        <v>0</v>
      </c>
      <c r="V6" s="409">
        <f t="shared" si="8"/>
        <v>0</v>
      </c>
      <c r="W6" s="409">
        <f t="shared" si="8"/>
        <v>0</v>
      </c>
      <c r="X6" s="409">
        <f t="shared" si="8"/>
        <v>0</v>
      </c>
      <c r="Y6" s="409">
        <f t="shared" si="8"/>
        <v>0</v>
      </c>
      <c r="Z6" s="409">
        <f t="shared" si="8"/>
        <v>70</v>
      </c>
      <c r="AA6" s="409">
        <f t="shared" si="8"/>
        <v>0</v>
      </c>
      <c r="AB6" s="409">
        <f>MAX(AB10:AB33)</f>
        <v>0</v>
      </c>
      <c r="AC6" s="409">
        <f>MAX(AC10:AC33)</f>
        <v>0</v>
      </c>
      <c r="AD6" s="409">
        <f>MAX(AD10:AD33)</f>
        <v>0</v>
      </c>
      <c r="AF6" s="94"/>
      <c r="AG6" s="94"/>
      <c r="AH6" s="94"/>
      <c r="AI6" s="94"/>
      <c r="AJ6" s="409">
        <f t="shared" ref="AJ6:AR6" si="9">MAX(AJ10:AJ33)</f>
        <v>0</v>
      </c>
      <c r="AK6" s="409">
        <f t="shared" si="9"/>
        <v>0</v>
      </c>
      <c r="AL6" s="409">
        <f t="shared" si="9"/>
        <v>0</v>
      </c>
      <c r="AM6" s="409">
        <f t="shared" si="9"/>
        <v>0</v>
      </c>
      <c r="AN6" s="409">
        <f t="shared" si="9"/>
        <v>0</v>
      </c>
      <c r="AO6" s="409">
        <f t="shared" si="9"/>
        <v>0</v>
      </c>
      <c r="AP6" s="409">
        <f t="shared" si="9"/>
        <v>0</v>
      </c>
      <c r="AQ6" s="409">
        <f t="shared" si="9"/>
        <v>0</v>
      </c>
      <c r="AR6" s="409">
        <f t="shared" si="9"/>
        <v>0</v>
      </c>
    </row>
    <row r="7" spans="1:86" s="10" customFormat="1" ht="30.75" thickBot="1">
      <c r="B7" s="222"/>
      <c r="V7" s="438" t="s">
        <v>104</v>
      </c>
      <c r="W7" s="439"/>
      <c r="Z7" s="74"/>
      <c r="AF7" s="94"/>
      <c r="AG7" s="94"/>
      <c r="AH7" s="94"/>
      <c r="AI7" s="94"/>
      <c r="AJ7" s="92" t="s">
        <v>68</v>
      </c>
      <c r="AK7" s="89" t="s">
        <v>69</v>
      </c>
      <c r="AL7" s="92" t="s">
        <v>70</v>
      </c>
      <c r="AM7" s="89"/>
      <c r="AN7" s="89"/>
      <c r="AO7" s="89"/>
      <c r="AP7" s="151"/>
      <c r="AQ7" s="152"/>
      <c r="AR7" s="151" t="s">
        <v>59</v>
      </c>
    </row>
    <row r="8" spans="1:86" s="10" customFormat="1" ht="27" customHeight="1" thickBot="1">
      <c r="B8" s="220"/>
      <c r="C8" s="436" t="s">
        <v>29</v>
      </c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7"/>
      <c r="V8" s="302">
        <v>2.4500000000000002</v>
      </c>
      <c r="W8" s="356">
        <v>1.5</v>
      </c>
      <c r="AB8" s="432" t="s">
        <v>33</v>
      </c>
      <c r="AC8" s="434"/>
      <c r="AF8" s="103" t="s">
        <v>45</v>
      </c>
      <c r="AG8" s="104" t="s">
        <v>46</v>
      </c>
      <c r="AH8" s="104" t="s">
        <v>47</v>
      </c>
      <c r="AI8" s="104" t="s">
        <v>48</v>
      </c>
      <c r="AJ8" s="104" t="s">
        <v>61</v>
      </c>
      <c r="AK8" s="104" t="s">
        <v>62</v>
      </c>
      <c r="AL8" s="104" t="s">
        <v>56</v>
      </c>
      <c r="AM8" s="104" t="s">
        <v>63</v>
      </c>
      <c r="AN8" s="104" t="s">
        <v>64</v>
      </c>
      <c r="AO8" s="104" t="s">
        <v>65</v>
      </c>
      <c r="AP8" s="104" t="s">
        <v>66</v>
      </c>
      <c r="AQ8" s="104" t="s">
        <v>67</v>
      </c>
      <c r="AR8" s="105" t="s">
        <v>52</v>
      </c>
    </row>
    <row r="9" spans="1:86" s="29" customFormat="1" ht="31.5" customHeight="1" thickTop="1" thickBot="1">
      <c r="B9" s="170" t="s">
        <v>0</v>
      </c>
      <c r="C9" s="50" t="s">
        <v>132</v>
      </c>
      <c r="D9" s="50" t="s">
        <v>133</v>
      </c>
      <c r="E9" s="237" t="s">
        <v>12</v>
      </c>
      <c r="F9" s="238" t="s">
        <v>93</v>
      </c>
      <c r="G9" s="39" t="s">
        <v>14</v>
      </c>
      <c r="H9" s="112" t="s">
        <v>8</v>
      </c>
      <c r="I9" s="39" t="s">
        <v>9</v>
      </c>
      <c r="J9" s="39" t="s">
        <v>15</v>
      </c>
      <c r="K9" s="39" t="s">
        <v>16</v>
      </c>
      <c r="L9" s="39" t="s">
        <v>27</v>
      </c>
      <c r="M9" s="39" t="s">
        <v>72</v>
      </c>
      <c r="N9" s="39" t="s">
        <v>73</v>
      </c>
      <c r="O9" s="39" t="s">
        <v>74</v>
      </c>
      <c r="P9" s="39" t="s">
        <v>75</v>
      </c>
      <c r="Q9" s="39" t="s">
        <v>76</v>
      </c>
      <c r="R9" s="39" t="s">
        <v>77</v>
      </c>
      <c r="S9" s="41" t="s">
        <v>81</v>
      </c>
      <c r="T9" s="58" t="s">
        <v>34</v>
      </c>
      <c r="U9" s="67" t="s">
        <v>37</v>
      </c>
      <c r="V9" s="51" t="s">
        <v>2</v>
      </c>
      <c r="W9" s="51" t="s">
        <v>3</v>
      </c>
      <c r="X9" s="51" t="s">
        <v>4</v>
      </c>
      <c r="Y9" s="51" t="s">
        <v>5</v>
      </c>
      <c r="Z9" s="303" t="s">
        <v>106</v>
      </c>
      <c r="AA9" s="61" t="s">
        <v>124</v>
      </c>
      <c r="AB9" s="27" t="s">
        <v>100</v>
      </c>
      <c r="AC9" s="28" t="s">
        <v>101</v>
      </c>
      <c r="AD9" s="44" t="s">
        <v>6</v>
      </c>
      <c r="AF9" s="103"/>
      <c r="AG9" s="104"/>
      <c r="AH9" s="105"/>
      <c r="AI9" s="172"/>
      <c r="AJ9" s="173"/>
      <c r="AK9" s="174"/>
      <c r="AL9" s="174"/>
      <c r="AM9" s="174"/>
      <c r="AN9" s="174"/>
      <c r="AO9" s="174"/>
      <c r="AP9" s="174"/>
      <c r="AQ9" s="174"/>
      <c r="AR9" s="175"/>
    </row>
    <row r="10" spans="1:86" s="10" customFormat="1" ht="13.5" customHeight="1">
      <c r="B10" s="3"/>
      <c r="C10" s="52"/>
      <c r="D10" s="382"/>
      <c r="E10" s="35"/>
      <c r="F10" s="13"/>
      <c r="G10" s="69"/>
      <c r="H10" s="69"/>
      <c r="I10" s="13"/>
      <c r="J10" s="13"/>
      <c r="K10" s="13"/>
      <c r="L10" s="13"/>
      <c r="M10" s="13"/>
      <c r="N10" s="198"/>
      <c r="O10" s="56"/>
      <c r="P10" s="56"/>
      <c r="Q10" s="56"/>
      <c r="R10" s="56"/>
      <c r="S10" s="198"/>
      <c r="T10" s="52" t="str">
        <f>IF((E10+F10+G10+H10+I10+J10+K10+L10+M10+N10+O10+P10+Q10+R10+S10)&lt;&gt;0,(#REF!+E10+F10+G10+H10+I10+J10+K10+L10+M10+N10+O10+P10+Q10+R10+S10),"")</f>
        <v/>
      </c>
      <c r="U10" s="65" t="str">
        <f>IF((E10+F10+G10+H10)&lt;&gt;0,(4.07*H10-7.6*E10-6.72*F10-1.43*G10)*100/(100-#REF!),"")</f>
        <v/>
      </c>
      <c r="V10" s="136" t="str">
        <f t="shared" ref="V10:V33" si="10">IF((E10+F10+G10+H10)&lt;&gt;0,E10/(G10+F10),"")</f>
        <v/>
      </c>
      <c r="W10" s="136" t="str">
        <f t="shared" ref="W10:W33" si="11">IF(G10&lt;&gt;0,F10/G10,"")</f>
        <v/>
      </c>
      <c r="X10" s="60" t="str">
        <f t="shared" ref="X10:X33" si="12">IF((E10+F10+G10+H10)&lt;&gt;0,H10/(E10+F10+G10),"")</f>
        <v/>
      </c>
      <c r="Y10" s="60" t="str">
        <f t="shared" ref="Y10:Y33" si="13">IF((2.8*E10+1.18*F10+0.65*G10)&lt;&gt;0,100*H10/(2.8*E10+1.18*F10+0.65*G10),"")</f>
        <v/>
      </c>
      <c r="Z10" s="305">
        <v>70</v>
      </c>
      <c r="AA10" s="171" t="str">
        <f t="shared" ref="AA10:AA33" si="14">IF(E10="","",(U10-Z10)^2)</f>
        <v/>
      </c>
      <c r="AB10" s="11"/>
      <c r="AC10" s="12"/>
      <c r="AD10" s="45"/>
      <c r="AF10" s="115"/>
      <c r="AG10" s="126"/>
      <c r="AH10" s="124"/>
      <c r="AI10" s="110"/>
      <c r="AJ10" s="125"/>
      <c r="AK10" s="106"/>
      <c r="AL10" s="106"/>
      <c r="AM10" s="106"/>
      <c r="AN10" s="106"/>
      <c r="AO10" s="106"/>
      <c r="AP10" s="106"/>
      <c r="AQ10" s="106"/>
      <c r="AR10" s="107"/>
      <c r="CB10" s="10" t="s">
        <v>152</v>
      </c>
      <c r="CE10" s="10" t="s">
        <v>152</v>
      </c>
      <c r="CG10" s="10" t="s">
        <v>152</v>
      </c>
      <c r="CH10" s="10" t="s">
        <v>152</v>
      </c>
    </row>
    <row r="11" spans="1:86" s="10" customFormat="1" ht="13.5" customHeight="1">
      <c r="B11" s="3"/>
      <c r="C11" s="52"/>
      <c r="D11" s="52"/>
      <c r="E11" s="36"/>
      <c r="F11" s="201"/>
      <c r="G11" s="201"/>
      <c r="H11" s="201"/>
      <c r="I11" s="201"/>
      <c r="J11" s="201"/>
      <c r="K11" s="201"/>
      <c r="L11" s="201"/>
      <c r="M11" s="208"/>
      <c r="N11" s="208"/>
      <c r="O11" s="208"/>
      <c r="P11" s="208"/>
      <c r="Q11" s="208"/>
      <c r="R11" s="208"/>
      <c r="S11" s="56"/>
      <c r="T11" s="52" t="str">
        <f>IF((E11+F11+G11+H11+I11+J11+K11+L11+M11+N11+O11+P11+Q11+R11+S11)&lt;&gt;0,(#REF!+E11+F11+G11+H11+I11+J11+K11+L11+M11+N11+O11+P11+Q11+R11+S11),"")</f>
        <v/>
      </c>
      <c r="U11" s="65" t="str">
        <f>IF((E11+F11+G11+H11)&lt;&gt;0,(4.07*H11-7.6*E11-6.72*F11-1.43*G11)*100/(100-#REF!),"")</f>
        <v/>
      </c>
      <c r="V11" s="136" t="str">
        <f t="shared" si="10"/>
        <v/>
      </c>
      <c r="W11" s="136" t="str">
        <f t="shared" si="11"/>
        <v/>
      </c>
      <c r="X11" s="60" t="str">
        <f t="shared" si="12"/>
        <v/>
      </c>
      <c r="Y11" s="60" t="str">
        <f t="shared" si="13"/>
        <v/>
      </c>
      <c r="Z11" s="304">
        <v>70</v>
      </c>
      <c r="AA11" s="171" t="str">
        <f t="shared" si="14"/>
        <v/>
      </c>
      <c r="AB11" s="34"/>
      <c r="AC11" s="16"/>
      <c r="AD11" s="46"/>
      <c r="AF11" s="290"/>
      <c r="AG11" s="98"/>
      <c r="AH11" s="121"/>
      <c r="AI11" s="102"/>
      <c r="AJ11" s="122"/>
      <c r="AK11" s="98"/>
      <c r="AL11" s="98"/>
      <c r="AM11" s="98"/>
      <c r="AN11" s="98"/>
      <c r="AO11" s="98"/>
      <c r="AP11" s="98"/>
      <c r="AQ11" s="98"/>
      <c r="AR11" s="99"/>
      <c r="CB11" s="10" t="s">
        <v>152</v>
      </c>
      <c r="CE11" s="10" t="s">
        <v>152</v>
      </c>
      <c r="CG11" s="10" t="s">
        <v>152</v>
      </c>
      <c r="CH11" s="10" t="s">
        <v>152</v>
      </c>
    </row>
    <row r="12" spans="1:86" s="10" customFormat="1" ht="13.5" customHeight="1">
      <c r="B12" s="3"/>
      <c r="C12" s="52"/>
      <c r="D12" s="52"/>
      <c r="E12" s="36"/>
      <c r="F12" s="201"/>
      <c r="G12" s="201"/>
      <c r="H12" s="201"/>
      <c r="I12" s="201"/>
      <c r="J12" s="201"/>
      <c r="K12" s="201"/>
      <c r="L12" s="201"/>
      <c r="M12" s="208"/>
      <c r="N12" s="208"/>
      <c r="O12" s="208"/>
      <c r="P12" s="208"/>
      <c r="Q12" s="208"/>
      <c r="R12" s="208"/>
      <c r="S12" s="56"/>
      <c r="T12" s="52" t="str">
        <f>IF((E12+F12+G12+H12+I12+J12+K12+L12+M12+N12+O12+P12+Q12+R12+S12)&lt;&gt;0,(#REF!+E12+F12+G12+H12+I12+J12+K12+L12+M12+N12+O12+P12+Q12+R12+S12),"")</f>
        <v/>
      </c>
      <c r="U12" s="65" t="str">
        <f>IF((E12+F12+G12+H12)&lt;&gt;0,(4.07*H12-7.6*E12-6.72*F12-1.43*G12)*100/(100-#REF!),"")</f>
        <v/>
      </c>
      <c r="V12" s="136" t="str">
        <f t="shared" si="10"/>
        <v/>
      </c>
      <c r="W12" s="136" t="str">
        <f t="shared" si="11"/>
        <v/>
      </c>
      <c r="X12" s="60" t="str">
        <f t="shared" si="12"/>
        <v/>
      </c>
      <c r="Y12" s="60" t="str">
        <f t="shared" si="13"/>
        <v/>
      </c>
      <c r="Z12" s="304">
        <v>70</v>
      </c>
      <c r="AA12" s="171" t="str">
        <f t="shared" si="14"/>
        <v/>
      </c>
      <c r="AB12" s="15"/>
      <c r="AC12" s="16"/>
      <c r="AD12" s="46"/>
      <c r="AF12" s="101"/>
      <c r="AG12" s="98"/>
      <c r="AH12" s="121"/>
      <c r="AI12" s="102"/>
      <c r="AJ12" s="122"/>
      <c r="AK12" s="98"/>
      <c r="AL12" s="98"/>
      <c r="AM12" s="98"/>
      <c r="AN12" s="98"/>
      <c r="AO12" s="98"/>
      <c r="AP12" s="98"/>
      <c r="AQ12" s="98"/>
      <c r="AR12" s="99"/>
      <c r="CB12" s="10" t="s">
        <v>152</v>
      </c>
      <c r="CE12" s="10" t="s">
        <v>152</v>
      </c>
      <c r="CG12" s="10" t="s">
        <v>152</v>
      </c>
      <c r="CH12" s="10" t="s">
        <v>152</v>
      </c>
    </row>
    <row r="13" spans="1:86" s="10" customFormat="1" ht="13.5" customHeight="1">
      <c r="B13" s="3"/>
      <c r="C13" s="52"/>
      <c r="D13" s="52"/>
      <c r="E13" s="36"/>
      <c r="F13" s="201"/>
      <c r="G13" s="201"/>
      <c r="H13" s="201"/>
      <c r="I13" s="201"/>
      <c r="J13" s="201"/>
      <c r="K13" s="201"/>
      <c r="L13" s="201"/>
      <c r="M13" s="208"/>
      <c r="N13" s="208"/>
      <c r="O13" s="208"/>
      <c r="P13" s="208"/>
      <c r="Q13" s="208"/>
      <c r="R13" s="208"/>
      <c r="S13" s="56"/>
      <c r="T13" s="52" t="str">
        <f>IF((E13+F13+G13+H13+I13+J13+K13+L13+M13+N13+O13+P13+Q13+R13+S13)&lt;&gt;0,(#REF!+E13+F13+G13+H13+I13+J13+K13+L13+M13+N13+O13+P13+Q13+R13+S13),"")</f>
        <v/>
      </c>
      <c r="U13" s="65" t="str">
        <f>IF((E13+F13+G13+H13)&lt;&gt;0,(4.07*H13-7.6*E13-6.72*F13-1.43*G13)*100/(100-#REF!),"")</f>
        <v/>
      </c>
      <c r="V13" s="136" t="str">
        <f t="shared" si="10"/>
        <v/>
      </c>
      <c r="W13" s="136" t="str">
        <f t="shared" si="11"/>
        <v/>
      </c>
      <c r="X13" s="60" t="str">
        <f t="shared" si="12"/>
        <v/>
      </c>
      <c r="Y13" s="60" t="str">
        <f t="shared" si="13"/>
        <v/>
      </c>
      <c r="Z13" s="304">
        <v>70</v>
      </c>
      <c r="AA13" s="171" t="str">
        <f t="shared" si="14"/>
        <v/>
      </c>
      <c r="AB13" s="15"/>
      <c r="AC13" s="16"/>
      <c r="AD13" s="46"/>
      <c r="AF13" s="101"/>
      <c r="AG13" s="98"/>
      <c r="AH13" s="121"/>
      <c r="AI13" s="102"/>
      <c r="AJ13" s="122"/>
      <c r="AK13" s="98"/>
      <c r="AL13" s="98"/>
      <c r="AM13" s="98"/>
      <c r="AN13" s="98"/>
      <c r="AO13" s="98"/>
      <c r="AP13" s="98"/>
      <c r="AQ13" s="98"/>
      <c r="AR13" s="99"/>
      <c r="CB13" s="10" t="s">
        <v>152</v>
      </c>
      <c r="CE13" s="10" t="s">
        <v>152</v>
      </c>
      <c r="CG13" s="10" t="s">
        <v>152</v>
      </c>
      <c r="CH13" s="10" t="s">
        <v>152</v>
      </c>
    </row>
    <row r="14" spans="1:86" s="10" customFormat="1" ht="14.25" customHeight="1">
      <c r="B14" s="3"/>
      <c r="C14" s="52"/>
      <c r="D14" s="52"/>
      <c r="E14" s="36"/>
      <c r="F14" s="201"/>
      <c r="G14" s="201"/>
      <c r="H14" s="201"/>
      <c r="I14" s="201"/>
      <c r="J14" s="201"/>
      <c r="K14" s="201"/>
      <c r="L14" s="201"/>
      <c r="M14" s="208"/>
      <c r="N14" s="208"/>
      <c r="O14" s="208"/>
      <c r="P14" s="208"/>
      <c r="Q14" s="208"/>
      <c r="R14" s="208"/>
      <c r="S14" s="56"/>
      <c r="T14" s="52" t="str">
        <f>IF((E14+F14+G14+H14+I14+J14+K14+L14+M14+N14+O14+P14+Q14+R14+S14)&lt;&gt;0,(#REF!+E14+F14+G14+H14+I14+J14+K14+L14+M14+N14+O14+P14+Q14+R14+S14),"")</f>
        <v/>
      </c>
      <c r="U14" s="65" t="str">
        <f>IF((E14+F14+G14+H14)&lt;&gt;0,(4.07*H14-7.6*E14-6.72*F14-1.43*G14)*100/(100-#REF!),"")</f>
        <v/>
      </c>
      <c r="V14" s="136" t="str">
        <f t="shared" si="10"/>
        <v/>
      </c>
      <c r="W14" s="136" t="str">
        <f t="shared" si="11"/>
        <v/>
      </c>
      <c r="X14" s="60" t="str">
        <f t="shared" si="12"/>
        <v/>
      </c>
      <c r="Y14" s="60" t="str">
        <f t="shared" si="13"/>
        <v/>
      </c>
      <c r="Z14" s="304">
        <v>70</v>
      </c>
      <c r="AA14" s="171" t="str">
        <f t="shared" si="14"/>
        <v/>
      </c>
      <c r="AB14" s="15"/>
      <c r="AC14" s="16"/>
      <c r="AD14" s="46"/>
      <c r="AF14" s="101"/>
      <c r="AG14" s="98"/>
      <c r="AH14" s="121"/>
      <c r="AI14" s="102"/>
      <c r="AJ14" s="122"/>
      <c r="AK14" s="98"/>
      <c r="AL14" s="98"/>
      <c r="AM14" s="98"/>
      <c r="AN14" s="98"/>
      <c r="AO14" s="98"/>
      <c r="AP14" s="98"/>
      <c r="AQ14" s="98"/>
      <c r="AR14" s="99"/>
      <c r="CB14" s="10" t="s">
        <v>152</v>
      </c>
      <c r="CE14" s="10" t="s">
        <v>152</v>
      </c>
      <c r="CG14" s="10" t="s">
        <v>152</v>
      </c>
      <c r="CH14" s="10" t="s">
        <v>152</v>
      </c>
    </row>
    <row r="15" spans="1:86" s="10" customFormat="1" ht="13.5" customHeight="1">
      <c r="B15" s="3"/>
      <c r="C15" s="52"/>
      <c r="D15" s="52"/>
      <c r="E15" s="36"/>
      <c r="F15" s="300"/>
      <c r="G15" s="201"/>
      <c r="H15" s="201"/>
      <c r="I15" s="201"/>
      <c r="J15" s="201"/>
      <c r="K15" s="201"/>
      <c r="L15" s="201"/>
      <c r="M15" s="208"/>
      <c r="N15" s="208"/>
      <c r="O15" s="208"/>
      <c r="P15" s="208"/>
      <c r="Q15" s="208"/>
      <c r="R15" s="208"/>
      <c r="S15" s="56"/>
      <c r="T15" s="52" t="str">
        <f>IF((E15+F15+G15+H15+I15+J15+K15+L15+M15+N15+O15+P15+Q15+R15+S15)&lt;&gt;0,(#REF!+E15+F15+G15+H15+I15+J15+K15+L15+M15+N15+O15+P15+Q15+R15+S15),"")</f>
        <v/>
      </c>
      <c r="U15" s="65" t="str">
        <f>IF((E15+F15+G15+H15)&lt;&gt;0,(4.07*H15-7.6*E15-6.72*F15-1.43*G15)*100/(100-#REF!),"")</f>
        <v/>
      </c>
      <c r="V15" s="136" t="str">
        <f t="shared" si="10"/>
        <v/>
      </c>
      <c r="W15" s="136" t="str">
        <f t="shared" si="11"/>
        <v/>
      </c>
      <c r="X15" s="60" t="str">
        <f t="shared" si="12"/>
        <v/>
      </c>
      <c r="Y15" s="60" t="str">
        <f t="shared" si="13"/>
        <v/>
      </c>
      <c r="Z15" s="304">
        <v>70</v>
      </c>
      <c r="AA15" s="171" t="str">
        <f t="shared" si="14"/>
        <v/>
      </c>
      <c r="AB15" s="15"/>
      <c r="AC15" s="16"/>
      <c r="AD15" s="46"/>
      <c r="AF15" s="290"/>
      <c r="AG15" s="98"/>
      <c r="AH15" s="121"/>
      <c r="AI15" s="102"/>
      <c r="AJ15" s="122"/>
      <c r="AK15" s="98"/>
      <c r="AL15" s="98"/>
      <c r="AM15" s="98"/>
      <c r="AN15" s="98"/>
      <c r="AO15" s="98"/>
      <c r="AP15" s="98"/>
      <c r="AQ15" s="98"/>
      <c r="AR15" s="99"/>
      <c r="CB15" s="10" t="s">
        <v>152</v>
      </c>
      <c r="CE15" s="10" t="s">
        <v>152</v>
      </c>
      <c r="CG15" s="10" t="s">
        <v>152</v>
      </c>
      <c r="CH15" s="10" t="s">
        <v>152</v>
      </c>
    </row>
    <row r="16" spans="1:86" s="10" customFormat="1" ht="13.5" customHeight="1">
      <c r="B16" s="3"/>
      <c r="C16" s="52"/>
      <c r="D16" s="52"/>
      <c r="E16" s="36"/>
      <c r="F16" s="201"/>
      <c r="G16" s="201"/>
      <c r="H16" s="201"/>
      <c r="I16" s="201"/>
      <c r="J16" s="201"/>
      <c r="K16" s="201"/>
      <c r="L16" s="201"/>
      <c r="M16" s="208"/>
      <c r="N16" s="208"/>
      <c r="O16" s="208"/>
      <c r="P16" s="208"/>
      <c r="Q16" s="208"/>
      <c r="R16" s="208"/>
      <c r="S16" s="56"/>
      <c r="T16" s="52" t="str">
        <f>IF((E16+F16+G16+H16+I16+J16+K16+L16+M16+N16+O16+P16+Q16+R16+S16)&lt;&gt;0,(#REF!+E16+F16+G16+H16+I16+J16+K16+L16+M16+N16+O16+P16+Q16+R16+S16),"")</f>
        <v/>
      </c>
      <c r="U16" s="65" t="str">
        <f>IF((E16+F16+G16+H16)&lt;&gt;0,(4.07*H16-7.6*E16-6.72*F16-1.43*G16)*100/(100-#REF!),"")</f>
        <v/>
      </c>
      <c r="V16" s="136" t="str">
        <f t="shared" si="10"/>
        <v/>
      </c>
      <c r="W16" s="136" t="str">
        <f t="shared" si="11"/>
        <v/>
      </c>
      <c r="X16" s="60" t="str">
        <f t="shared" si="12"/>
        <v/>
      </c>
      <c r="Y16" s="60" t="str">
        <f t="shared" si="13"/>
        <v/>
      </c>
      <c r="Z16" s="304">
        <v>70</v>
      </c>
      <c r="AA16" s="171" t="str">
        <f t="shared" si="14"/>
        <v/>
      </c>
      <c r="AB16" s="15"/>
      <c r="AC16" s="16"/>
      <c r="AD16" s="46"/>
      <c r="AF16" s="101"/>
      <c r="AG16" s="127"/>
      <c r="AH16" s="121"/>
      <c r="AI16" s="102"/>
      <c r="AJ16" s="122"/>
      <c r="AK16" s="98"/>
      <c r="AL16" s="98"/>
      <c r="AM16" s="98"/>
      <c r="AN16" s="98"/>
      <c r="AO16" s="98"/>
      <c r="AP16" s="98"/>
      <c r="AQ16" s="98"/>
      <c r="AR16" s="99"/>
      <c r="CB16" s="10" t="s">
        <v>152</v>
      </c>
      <c r="CE16" s="10" t="s">
        <v>152</v>
      </c>
      <c r="CG16" s="10" t="s">
        <v>152</v>
      </c>
      <c r="CH16" s="10" t="s">
        <v>152</v>
      </c>
    </row>
    <row r="17" spans="2:86" s="10" customFormat="1" ht="13.5" customHeight="1" thickBot="1">
      <c r="B17" s="78"/>
      <c r="C17" s="212"/>
      <c r="D17" s="212"/>
      <c r="E17" s="37"/>
      <c r="F17" s="19"/>
      <c r="G17" s="24"/>
      <c r="H17" s="24"/>
      <c r="I17" s="19"/>
      <c r="J17" s="19"/>
      <c r="K17" s="19"/>
      <c r="L17" s="19"/>
      <c r="M17" s="24"/>
      <c r="N17" s="57"/>
      <c r="O17" s="57"/>
      <c r="P17" s="57"/>
      <c r="Q17" s="57"/>
      <c r="R17" s="24"/>
      <c r="S17" s="25"/>
      <c r="T17" s="210" t="str">
        <f>IF((E17+F17+G17+H17+I17+J17+K17+L17+M17+N17+O17+P17+Q17+R17+S17)&lt;&gt;0,(#REF!+E17+F17+G17+H17+I17+J17+K17+L17+M17+N17+O17+P17+Q17+R17+S17),"")</f>
        <v/>
      </c>
      <c r="U17" s="185" t="str">
        <f>IF((E17+F17+G17+H17)&lt;&gt;0,(4.07*H17-7.6*E17-6.72*F17-1.43*G17)*100/(100-#REF!),"")</f>
        <v/>
      </c>
      <c r="V17" s="168" t="str">
        <f t="shared" si="10"/>
        <v/>
      </c>
      <c r="W17" s="168" t="str">
        <f t="shared" si="11"/>
        <v/>
      </c>
      <c r="X17" s="55" t="str">
        <f t="shared" si="12"/>
        <v/>
      </c>
      <c r="Y17" s="55" t="str">
        <f t="shared" si="13"/>
        <v/>
      </c>
      <c r="Z17" s="359">
        <v>70</v>
      </c>
      <c r="AA17" s="171" t="str">
        <f t="shared" si="14"/>
        <v/>
      </c>
      <c r="AB17" s="15"/>
      <c r="AC17" s="16"/>
      <c r="AD17" s="47"/>
      <c r="AF17" s="101"/>
      <c r="AG17" s="127"/>
      <c r="AH17" s="121"/>
      <c r="AI17" s="102"/>
      <c r="AJ17" s="156"/>
      <c r="AK17" s="156"/>
      <c r="AL17" s="156"/>
      <c r="AM17" s="156"/>
      <c r="AN17" s="156"/>
      <c r="AO17" s="156"/>
      <c r="AP17" s="156"/>
      <c r="AQ17" s="156"/>
      <c r="AR17" s="157"/>
      <c r="CB17" s="10" t="s">
        <v>152</v>
      </c>
      <c r="CE17" s="10" t="s">
        <v>152</v>
      </c>
      <c r="CG17" s="10" t="s">
        <v>152</v>
      </c>
      <c r="CH17" s="10" t="s">
        <v>152</v>
      </c>
    </row>
    <row r="18" spans="2:86" s="10" customFormat="1" ht="13.5" customHeight="1">
      <c r="B18" s="79"/>
      <c r="C18" s="382"/>
      <c r="D18" s="382"/>
      <c r="E18" s="35"/>
      <c r="F18" s="13"/>
      <c r="G18" s="69"/>
      <c r="H18" s="69"/>
      <c r="I18" s="13"/>
      <c r="J18" s="13"/>
      <c r="K18" s="13"/>
      <c r="L18" s="13"/>
      <c r="M18" s="13"/>
      <c r="N18" s="198"/>
      <c r="O18" s="56"/>
      <c r="P18" s="56"/>
      <c r="Q18" s="56"/>
      <c r="R18" s="56"/>
      <c r="S18" s="198"/>
      <c r="T18" s="211" t="str">
        <f>IF((E18+F18+G18+H18+I18+J18+K18+L18+M18+N18+O18+P18+Q18+R18+S18)&lt;&gt;0,(#REF!+E18+F18+G18+H18+I18+J18+K18+L18+M18+N18+O18+P18+Q18+R18+S18),"")</f>
        <v/>
      </c>
      <c r="U18" s="177" t="str">
        <f>IF((E18+F18+G18+H18)&lt;&gt;0,(4.07*H18-7.6*E18-6.72*F18-1.43*G18)*100/(100-#REF!),"")</f>
        <v/>
      </c>
      <c r="V18" s="169" t="str">
        <f t="shared" si="10"/>
        <v/>
      </c>
      <c r="W18" s="169" t="str">
        <f t="shared" si="11"/>
        <v/>
      </c>
      <c r="X18" s="59" t="str">
        <f t="shared" si="12"/>
        <v/>
      </c>
      <c r="Y18" s="59" t="str">
        <f t="shared" si="13"/>
        <v/>
      </c>
      <c r="Z18" s="305">
        <v>70</v>
      </c>
      <c r="AA18" s="133" t="str">
        <f t="shared" si="14"/>
        <v/>
      </c>
      <c r="AB18" s="11"/>
      <c r="AC18" s="12"/>
      <c r="AD18" s="45"/>
      <c r="AE18" s="295"/>
      <c r="AF18" s="115"/>
      <c r="AG18" s="126"/>
      <c r="AH18" s="124"/>
      <c r="AI18" s="110"/>
      <c r="AJ18" s="125"/>
      <c r="AK18" s="106"/>
      <c r="AL18" s="106"/>
      <c r="AM18" s="106"/>
      <c r="AN18" s="106"/>
      <c r="AO18" s="106"/>
      <c r="AP18" s="106"/>
      <c r="AQ18" s="106"/>
      <c r="AR18" s="107"/>
      <c r="CB18" s="10" t="s">
        <v>152</v>
      </c>
      <c r="CE18" s="10" t="s">
        <v>152</v>
      </c>
      <c r="CG18" s="10" t="s">
        <v>152</v>
      </c>
      <c r="CH18" s="10" t="s">
        <v>152</v>
      </c>
    </row>
    <row r="19" spans="2:86" s="10" customFormat="1">
      <c r="B19" s="5"/>
      <c r="C19" s="52"/>
      <c r="D19" s="52"/>
      <c r="E19" s="36"/>
      <c r="F19" s="201"/>
      <c r="G19" s="201"/>
      <c r="H19" s="201"/>
      <c r="I19" s="201"/>
      <c r="J19" s="201"/>
      <c r="K19" s="201"/>
      <c r="L19" s="201"/>
      <c r="M19" s="208"/>
      <c r="N19" s="208"/>
      <c r="O19" s="208"/>
      <c r="P19" s="208"/>
      <c r="Q19" s="208"/>
      <c r="R19" s="208"/>
      <c r="S19" s="198"/>
      <c r="T19" s="52" t="str">
        <f>IF((E19+F19+G19+H19+I19+J19+K19+L19+M19+N19+O19+P19+Q19+R19+S19)&lt;&gt;0,(#REF!+E19+F19+G19+H19+I19+J19+K19+L19+M19+N19+O19+P19+Q19+R19+S19),"")</f>
        <v/>
      </c>
      <c r="U19" s="65" t="str">
        <f>IF((E19+F19+G19+H19)&lt;&gt;0,(4.07*H19-7.6*E19-6.72*F19-1.43*G19)*100/(100-#REF!),"")</f>
        <v/>
      </c>
      <c r="V19" s="136" t="str">
        <f t="shared" si="10"/>
        <v/>
      </c>
      <c r="W19" s="136" t="str">
        <f t="shared" si="11"/>
        <v/>
      </c>
      <c r="X19" s="60" t="str">
        <f t="shared" si="12"/>
        <v/>
      </c>
      <c r="Y19" s="60" t="str">
        <f t="shared" si="13"/>
        <v/>
      </c>
      <c r="Z19" s="304">
        <v>70</v>
      </c>
      <c r="AA19" s="171" t="str">
        <f t="shared" si="14"/>
        <v/>
      </c>
      <c r="AB19" s="15"/>
      <c r="AC19" s="16"/>
      <c r="AD19" s="46"/>
      <c r="AE19" s="295"/>
      <c r="AF19" s="327"/>
      <c r="AG19" s="127"/>
      <c r="AH19" s="121"/>
      <c r="AI19" s="102"/>
      <c r="AJ19" s="122"/>
      <c r="AK19" s="98"/>
      <c r="AL19" s="98"/>
      <c r="AM19" s="98"/>
      <c r="AN19" s="98"/>
      <c r="AO19" s="98"/>
      <c r="AP19" s="98"/>
      <c r="AQ19" s="98"/>
      <c r="AR19" s="99"/>
      <c r="CB19" s="10" t="s">
        <v>152</v>
      </c>
      <c r="CE19" s="10" t="s">
        <v>152</v>
      </c>
      <c r="CG19" s="10" t="s">
        <v>152</v>
      </c>
      <c r="CH19" s="10" t="s">
        <v>152</v>
      </c>
    </row>
    <row r="20" spans="2:86" s="10" customFormat="1">
      <c r="B20" s="5"/>
      <c r="C20" s="52"/>
      <c r="D20" s="52"/>
      <c r="E20" s="36"/>
      <c r="F20" s="201"/>
      <c r="G20" s="201"/>
      <c r="H20" s="201"/>
      <c r="I20" s="201"/>
      <c r="J20" s="201"/>
      <c r="K20" s="201"/>
      <c r="L20" s="201"/>
      <c r="M20" s="208"/>
      <c r="N20" s="208"/>
      <c r="O20" s="208"/>
      <c r="P20" s="208"/>
      <c r="Q20" s="208"/>
      <c r="R20" s="208"/>
      <c r="S20" s="198"/>
      <c r="T20" s="52" t="str">
        <f>IF((E20+F20+G20+H20+I20+J20+K20+L20+M20+N20+O20+P20+Q20+R20+S20)&lt;&gt;0,(#REF!+E20+F20+G20+H20+I20+J20+K20+L20+M20+N20+O20+P20+Q20+R20+S20),"")</f>
        <v/>
      </c>
      <c r="U20" s="65" t="str">
        <f>IF((E20+F20+G20+H20)&lt;&gt;0,(4.07*H20-7.6*E20-6.72*F20-1.43*G20)*100/(100-#REF!),"")</f>
        <v/>
      </c>
      <c r="V20" s="136" t="str">
        <f t="shared" si="10"/>
        <v/>
      </c>
      <c r="W20" s="136" t="str">
        <f t="shared" si="11"/>
        <v/>
      </c>
      <c r="X20" s="60" t="str">
        <f t="shared" si="12"/>
        <v/>
      </c>
      <c r="Y20" s="60" t="str">
        <f t="shared" si="13"/>
        <v/>
      </c>
      <c r="Z20" s="304">
        <v>70</v>
      </c>
      <c r="AA20" s="171" t="str">
        <f t="shared" si="14"/>
        <v/>
      </c>
      <c r="AB20" s="15"/>
      <c r="AC20" s="16"/>
      <c r="AD20" s="46"/>
      <c r="AE20" s="295"/>
      <c r="AF20" s="327"/>
      <c r="AG20" s="127"/>
      <c r="AH20" s="121"/>
      <c r="AI20" s="102"/>
      <c r="AJ20" s="122"/>
      <c r="AK20" s="98"/>
      <c r="AL20" s="98"/>
      <c r="AM20" s="98"/>
      <c r="AN20" s="98"/>
      <c r="AO20" s="98"/>
      <c r="AP20" s="98"/>
      <c r="AQ20" s="98"/>
      <c r="AR20" s="99"/>
      <c r="CB20" s="10" t="s">
        <v>152</v>
      </c>
      <c r="CE20" s="10" t="s">
        <v>152</v>
      </c>
      <c r="CG20" s="10" t="s">
        <v>152</v>
      </c>
      <c r="CH20" s="10" t="s">
        <v>152</v>
      </c>
    </row>
    <row r="21" spans="2:86" s="10" customFormat="1">
      <c r="B21" s="5"/>
      <c r="C21" s="52"/>
      <c r="D21" s="52"/>
      <c r="E21" s="36"/>
      <c r="F21" s="201"/>
      <c r="G21" s="201"/>
      <c r="H21" s="201"/>
      <c r="I21" s="201"/>
      <c r="J21" s="201"/>
      <c r="K21" s="201"/>
      <c r="L21" s="201"/>
      <c r="M21" s="208"/>
      <c r="N21" s="208"/>
      <c r="O21" s="208"/>
      <c r="P21" s="208"/>
      <c r="Q21" s="208"/>
      <c r="R21" s="208"/>
      <c r="S21" s="198"/>
      <c r="T21" s="52" t="str">
        <f>IF((E21+F21+G21+H21+I21+J21+K21+L21+M21+N21+O21+P21+Q21+R21+S21)&lt;&gt;0,(#REF!+E21+F21+G21+H21+I21+J21+K21+L21+M21+N21+O21+P21+Q21+R21+S21),"")</f>
        <v/>
      </c>
      <c r="U21" s="65" t="str">
        <f>IF((E21+F21+G21+H21)&lt;&gt;0,(4.07*H21-7.6*E21-6.72*F21-1.43*G21)*100/(100-#REF!),"")</f>
        <v/>
      </c>
      <c r="V21" s="136" t="str">
        <f t="shared" si="10"/>
        <v/>
      </c>
      <c r="W21" s="136" t="str">
        <f t="shared" si="11"/>
        <v/>
      </c>
      <c r="X21" s="60" t="str">
        <f t="shared" si="12"/>
        <v/>
      </c>
      <c r="Y21" s="60" t="str">
        <f t="shared" si="13"/>
        <v/>
      </c>
      <c r="Z21" s="304">
        <v>70</v>
      </c>
      <c r="AA21" s="171" t="str">
        <f t="shared" si="14"/>
        <v/>
      </c>
      <c r="AB21" s="15"/>
      <c r="AC21" s="16"/>
      <c r="AD21" s="46"/>
      <c r="AE21" s="295"/>
      <c r="AF21" s="327"/>
      <c r="AG21" s="127"/>
      <c r="AH21" s="121"/>
      <c r="AI21" s="102"/>
      <c r="AJ21" s="122"/>
      <c r="AK21" s="98"/>
      <c r="AL21" s="98"/>
      <c r="AM21" s="98"/>
      <c r="AN21" s="98"/>
      <c r="AO21" s="98"/>
      <c r="AP21" s="98"/>
      <c r="AQ21" s="98"/>
      <c r="AR21" s="99"/>
      <c r="CB21" s="10" t="s">
        <v>152</v>
      </c>
      <c r="CE21" s="10" t="s">
        <v>152</v>
      </c>
      <c r="CG21" s="10" t="s">
        <v>152</v>
      </c>
      <c r="CH21" s="10" t="s">
        <v>152</v>
      </c>
    </row>
    <row r="22" spans="2:86" s="10" customFormat="1">
      <c r="B22" s="5"/>
      <c r="C22" s="52"/>
      <c r="D22" s="52"/>
      <c r="E22" s="36"/>
      <c r="F22" s="201"/>
      <c r="G22" s="201"/>
      <c r="H22" s="201"/>
      <c r="I22" s="201"/>
      <c r="J22" s="201"/>
      <c r="K22" s="201"/>
      <c r="L22" s="201"/>
      <c r="M22" s="208"/>
      <c r="N22" s="208"/>
      <c r="O22" s="208"/>
      <c r="P22" s="208"/>
      <c r="Q22" s="208"/>
      <c r="R22" s="208"/>
      <c r="S22" s="198"/>
      <c r="T22" s="52" t="str">
        <f>IF((E22+F22+G22+H22+I22+J22+K22+L22+M22+N22+O22+P22+Q22+R22+S22)&lt;&gt;0,(#REF!+E22+F22+G22+H22+I22+J22+K22+L22+M22+N22+O22+P22+Q22+R22+S22),"")</f>
        <v/>
      </c>
      <c r="U22" s="65" t="str">
        <f>IF((E22+F22+G22+H22)&lt;&gt;0,(4.07*H22-7.6*E22-6.72*F22-1.43*G22)*100/(100-#REF!),"")</f>
        <v/>
      </c>
      <c r="V22" s="136" t="str">
        <f t="shared" si="10"/>
        <v/>
      </c>
      <c r="W22" s="136" t="str">
        <f t="shared" si="11"/>
        <v/>
      </c>
      <c r="X22" s="60" t="str">
        <f t="shared" si="12"/>
        <v/>
      </c>
      <c r="Y22" s="60" t="str">
        <f t="shared" si="13"/>
        <v/>
      </c>
      <c r="Z22" s="304">
        <v>70</v>
      </c>
      <c r="AA22" s="171" t="str">
        <f t="shared" si="14"/>
        <v/>
      </c>
      <c r="AB22" s="15"/>
      <c r="AC22" s="16"/>
      <c r="AD22" s="46"/>
      <c r="AE22" s="295"/>
      <c r="AF22" s="327"/>
      <c r="AG22" s="127"/>
      <c r="AH22" s="121"/>
      <c r="AI22" s="102"/>
      <c r="AJ22" s="122"/>
      <c r="AK22" s="98"/>
      <c r="AL22" s="98"/>
      <c r="AM22" s="98"/>
      <c r="AN22" s="98"/>
      <c r="AO22" s="98"/>
      <c r="AP22" s="98"/>
      <c r="AQ22" s="98"/>
      <c r="AR22" s="99"/>
      <c r="CB22" s="10" t="s">
        <v>152</v>
      </c>
      <c r="CE22" s="10" t="s">
        <v>152</v>
      </c>
      <c r="CG22" s="10" t="s">
        <v>152</v>
      </c>
      <c r="CH22" s="10" t="s">
        <v>152</v>
      </c>
    </row>
    <row r="23" spans="2:86" s="10" customFormat="1">
      <c r="B23" s="5"/>
      <c r="C23" s="52"/>
      <c r="D23" s="52"/>
      <c r="E23" s="36"/>
      <c r="F23" s="201"/>
      <c r="G23" s="201"/>
      <c r="H23" s="201"/>
      <c r="I23" s="201"/>
      <c r="J23" s="201"/>
      <c r="K23" s="201"/>
      <c r="L23" s="201"/>
      <c r="M23" s="208"/>
      <c r="N23" s="208"/>
      <c r="O23" s="208"/>
      <c r="P23" s="208"/>
      <c r="Q23" s="208"/>
      <c r="R23" s="208"/>
      <c r="S23" s="198"/>
      <c r="T23" s="52" t="str">
        <f>IF((E23+F23+G23+H23+I23+J23+K23+L23+M23+N23+O23+P23+Q23+R23+S23)&lt;&gt;0,(#REF!+E23+F23+G23+H23+I23+J23+K23+L23+M23+N23+O23+P23+Q23+R23+S23),"")</f>
        <v/>
      </c>
      <c r="U23" s="65" t="str">
        <f>IF((E23+F23+G23+H23)&lt;&gt;0,(4.07*H23-7.6*E23-6.72*F23-1.43*G23)*100/(100-#REF!),"")</f>
        <v/>
      </c>
      <c r="V23" s="136" t="str">
        <f t="shared" si="10"/>
        <v/>
      </c>
      <c r="W23" s="136" t="str">
        <f t="shared" si="11"/>
        <v/>
      </c>
      <c r="X23" s="60" t="str">
        <f t="shared" si="12"/>
        <v/>
      </c>
      <c r="Y23" s="60" t="str">
        <f t="shared" si="13"/>
        <v/>
      </c>
      <c r="Z23" s="304">
        <v>70</v>
      </c>
      <c r="AA23" s="171" t="str">
        <f t="shared" si="14"/>
        <v/>
      </c>
      <c r="AB23" s="15"/>
      <c r="AC23" s="16"/>
      <c r="AE23" s="295"/>
      <c r="AF23" s="327"/>
      <c r="AG23" s="127"/>
      <c r="AH23" s="121"/>
      <c r="AI23" s="102"/>
      <c r="AJ23" s="122"/>
      <c r="AK23" s="98"/>
      <c r="AL23" s="98"/>
      <c r="AM23" s="98"/>
      <c r="AN23" s="98"/>
      <c r="AO23" s="98"/>
      <c r="AP23" s="98"/>
      <c r="AQ23" s="98"/>
      <c r="AR23" s="99"/>
      <c r="CB23" s="10" t="s">
        <v>152</v>
      </c>
      <c r="CE23" s="10" t="s">
        <v>152</v>
      </c>
      <c r="CG23" s="10" t="s">
        <v>152</v>
      </c>
      <c r="CH23" s="10" t="s">
        <v>152</v>
      </c>
    </row>
    <row r="24" spans="2:86" s="10" customFormat="1">
      <c r="B24" s="5"/>
      <c r="C24" s="52"/>
      <c r="D24" s="52"/>
      <c r="E24" s="36"/>
      <c r="F24" s="201"/>
      <c r="G24" s="201"/>
      <c r="H24" s="201"/>
      <c r="I24" s="201"/>
      <c r="J24" s="201"/>
      <c r="K24" s="201"/>
      <c r="L24" s="201"/>
      <c r="M24" s="208"/>
      <c r="N24" s="208"/>
      <c r="O24" s="208"/>
      <c r="P24" s="208"/>
      <c r="Q24" s="208"/>
      <c r="R24" s="208"/>
      <c r="S24" s="198"/>
      <c r="T24" s="52" t="str">
        <f>IF((E24+F24+G24+H24+I24+J24+K24+L24+M24+N24+O24+P24+Q24+R24+S24)&lt;&gt;0,(#REF!+E24+F24+G24+H24+I24+J24+K24+L24+M24+N24+O24+P24+Q24+R24+S24),"")</f>
        <v/>
      </c>
      <c r="U24" s="65" t="str">
        <f>IF((E24+F24+G24+H24)&lt;&gt;0,(4.07*H24-7.6*E24-6.72*F24-1.43*G24)*100/(100-#REF!),"")</f>
        <v/>
      </c>
      <c r="V24" s="136" t="str">
        <f t="shared" si="10"/>
        <v/>
      </c>
      <c r="W24" s="136" t="str">
        <f t="shared" si="11"/>
        <v/>
      </c>
      <c r="X24" s="60" t="str">
        <f t="shared" si="12"/>
        <v/>
      </c>
      <c r="Y24" s="60" t="str">
        <f t="shared" si="13"/>
        <v/>
      </c>
      <c r="Z24" s="304">
        <v>70</v>
      </c>
      <c r="AA24" s="171" t="str">
        <f t="shared" si="14"/>
        <v/>
      </c>
      <c r="AB24" s="15"/>
      <c r="AC24" s="16"/>
      <c r="AD24" s="46"/>
      <c r="AE24" s="295"/>
      <c r="AF24" s="327"/>
      <c r="AG24" s="127"/>
      <c r="AH24" s="121"/>
      <c r="AI24" s="102"/>
      <c r="AJ24" s="122"/>
      <c r="AK24" s="98"/>
      <c r="AL24" s="98"/>
      <c r="AM24" s="98"/>
      <c r="AN24" s="98"/>
      <c r="AO24" s="98"/>
      <c r="AP24" s="98"/>
      <c r="AQ24" s="98"/>
      <c r="AR24" s="99"/>
      <c r="CB24" s="10" t="s">
        <v>152</v>
      </c>
      <c r="CE24" s="10" t="s">
        <v>152</v>
      </c>
      <c r="CG24" s="10" t="s">
        <v>152</v>
      </c>
      <c r="CH24" s="10" t="s">
        <v>152</v>
      </c>
    </row>
    <row r="25" spans="2:86" s="10" customFormat="1" ht="13.5" customHeight="1" thickBot="1">
      <c r="B25" s="7"/>
      <c r="C25" s="210"/>
      <c r="D25" s="210"/>
      <c r="E25" s="37"/>
      <c r="F25" s="19"/>
      <c r="G25" s="24"/>
      <c r="H25" s="24"/>
      <c r="I25" s="19"/>
      <c r="J25" s="19"/>
      <c r="K25" s="19"/>
      <c r="L25" s="19"/>
      <c r="M25" s="24"/>
      <c r="N25" s="57"/>
      <c r="O25" s="57"/>
      <c r="P25" s="57"/>
      <c r="Q25" s="57"/>
      <c r="R25" s="24"/>
      <c r="S25" s="25"/>
      <c r="T25" s="210" t="str">
        <f>IF((E25+F25+G25+H25+I25+J25+K25+L25+M25+N25+O25+P25+Q25+R25+S25)&lt;&gt;0,(#REF!+E25+F25+G25+H25+I25+J25+K25+L25+M25+N25+O25+P25+Q25+R25+S25),"")</f>
        <v/>
      </c>
      <c r="U25" s="66" t="str">
        <f>IF((E25+F25+G25+H25)&lt;&gt;0,(4.07*H25-7.6*E25-6.72*F25-1.43*G25)*100/(100-#REF!),"")</f>
        <v/>
      </c>
      <c r="V25" s="137" t="str">
        <f t="shared" si="10"/>
        <v/>
      </c>
      <c r="W25" s="137" t="str">
        <f t="shared" si="11"/>
        <v/>
      </c>
      <c r="X25" s="62" t="str">
        <f t="shared" si="12"/>
        <v/>
      </c>
      <c r="Y25" s="62" t="str">
        <f t="shared" si="13"/>
        <v/>
      </c>
      <c r="Z25" s="359">
        <v>70</v>
      </c>
      <c r="AA25" s="167" t="str">
        <f t="shared" si="14"/>
        <v/>
      </c>
      <c r="AB25" s="15"/>
      <c r="AC25" s="23"/>
      <c r="AD25" s="46"/>
      <c r="AF25" s="119"/>
      <c r="AG25" s="128"/>
      <c r="AH25" s="129"/>
      <c r="AI25" s="118"/>
      <c r="AJ25" s="130"/>
      <c r="AK25" s="120"/>
      <c r="AL25" s="120"/>
      <c r="AM25" s="120"/>
      <c r="AN25" s="120"/>
      <c r="AO25" s="120"/>
      <c r="AP25" s="120"/>
      <c r="AQ25" s="120"/>
      <c r="AR25" s="123"/>
      <c r="CB25" s="10" t="s">
        <v>152</v>
      </c>
      <c r="CE25" s="10" t="s">
        <v>152</v>
      </c>
      <c r="CG25" s="10" t="s">
        <v>152</v>
      </c>
      <c r="CH25" s="10" t="s">
        <v>152</v>
      </c>
    </row>
    <row r="26" spans="2:86" s="10" customFormat="1" ht="13.5" customHeight="1">
      <c r="B26" s="250"/>
      <c r="C26" s="211"/>
      <c r="D26" s="211"/>
      <c r="E26" s="35"/>
      <c r="F26" s="13"/>
      <c r="G26" s="69"/>
      <c r="H26" s="69"/>
      <c r="I26" s="13"/>
      <c r="J26" s="13"/>
      <c r="K26" s="13"/>
      <c r="L26" s="13"/>
      <c r="M26" s="13"/>
      <c r="N26" s="198"/>
      <c r="O26" s="56"/>
      <c r="P26" s="56"/>
      <c r="Q26" s="56"/>
      <c r="R26" s="56"/>
      <c r="S26" s="198"/>
      <c r="T26" s="211" t="str">
        <f>IF((E26+F26+G26+H26+I26+J26+K26+L26+M26+N26+O26+P26+Q26+R26+S26)&lt;&gt;0,(#REF!+E26+F26+G26+H26+I26+J26+K26+L26+M26+N26+O26+P26+Q26+R26+S26),"")</f>
        <v/>
      </c>
      <c r="U26" s="207" t="str">
        <f>IF((E26+F26+G26+H26)&lt;&gt;0,(4.07*H26-7.6*E26-6.72*F26-1.43*G26)*100/(100-#REF!),"")</f>
        <v/>
      </c>
      <c r="V26" s="195" t="str">
        <f t="shared" si="10"/>
        <v/>
      </c>
      <c r="W26" s="195" t="str">
        <f t="shared" si="11"/>
        <v/>
      </c>
      <c r="X26" s="83" t="str">
        <f t="shared" si="12"/>
        <v/>
      </c>
      <c r="Y26" s="83" t="str">
        <f t="shared" si="13"/>
        <v/>
      </c>
      <c r="Z26" s="305">
        <v>70</v>
      </c>
      <c r="AA26" s="134" t="str">
        <f t="shared" si="14"/>
        <v/>
      </c>
      <c r="AB26" s="11"/>
      <c r="AC26" s="270"/>
      <c r="AD26" s="45"/>
      <c r="AF26" s="115"/>
      <c r="AG26" s="126"/>
      <c r="AH26" s="124"/>
      <c r="AI26" s="110"/>
      <c r="AJ26" s="125"/>
      <c r="AK26" s="106"/>
      <c r="AL26" s="106"/>
      <c r="AM26" s="106"/>
      <c r="AN26" s="106"/>
      <c r="AO26" s="106"/>
      <c r="AP26" s="106"/>
      <c r="AQ26" s="106"/>
      <c r="AR26" s="107"/>
      <c r="CB26" s="10" t="s">
        <v>152</v>
      </c>
      <c r="CE26" s="10" t="s">
        <v>152</v>
      </c>
      <c r="CG26" s="10" t="s">
        <v>152</v>
      </c>
      <c r="CH26" s="10" t="s">
        <v>152</v>
      </c>
    </row>
    <row r="27" spans="2:86" s="10" customFormat="1" ht="14.25" customHeight="1">
      <c r="B27" s="250"/>
      <c r="C27" s="52"/>
      <c r="D27" s="52"/>
      <c r="E27" s="36"/>
      <c r="F27" s="201"/>
      <c r="G27" s="201"/>
      <c r="H27" s="201"/>
      <c r="I27" s="201"/>
      <c r="J27" s="201"/>
      <c r="K27" s="201"/>
      <c r="L27" s="201"/>
      <c r="M27" s="208"/>
      <c r="N27" s="208"/>
      <c r="O27" s="208"/>
      <c r="P27" s="208"/>
      <c r="Q27" s="208"/>
      <c r="R27" s="208"/>
      <c r="S27" s="56"/>
      <c r="T27" s="52" t="str">
        <f>IF((E27+F27+G27+H27+I27+J27+K27+L27+M27+N27+O27+P27+Q27+R27+S27)&lt;&gt;0,(#REF!+E27+F27+G27+H27+I27+J27+K27+L27+M27+N27+O27+P27+Q27+R27+S27),"")</f>
        <v/>
      </c>
      <c r="U27" s="65" t="str">
        <f>IF((E27+F27+G27+H27)&lt;&gt;0,(4.07*H27-7.6*E27-6.72*F27-1.43*G27)*100/(100-#REF!),"")</f>
        <v/>
      </c>
      <c r="V27" s="136" t="str">
        <f t="shared" si="10"/>
        <v/>
      </c>
      <c r="W27" s="136" t="str">
        <f t="shared" si="11"/>
        <v/>
      </c>
      <c r="X27" s="60" t="str">
        <f t="shared" si="12"/>
        <v/>
      </c>
      <c r="Y27" s="60" t="str">
        <f t="shared" si="13"/>
        <v/>
      </c>
      <c r="Z27" s="304">
        <v>70</v>
      </c>
      <c r="AA27" s="134" t="str">
        <f t="shared" si="14"/>
        <v/>
      </c>
      <c r="AB27" s="15"/>
      <c r="AC27" s="16"/>
      <c r="AD27" s="46"/>
      <c r="AF27" s="290"/>
      <c r="AG27" s="127"/>
      <c r="AH27" s="121"/>
      <c r="AI27" s="102"/>
      <c r="AJ27" s="122"/>
      <c r="AK27" s="98"/>
      <c r="AL27" s="98"/>
      <c r="AM27" s="98"/>
      <c r="AN27" s="98"/>
      <c r="AO27" s="98"/>
      <c r="AP27" s="98"/>
      <c r="AQ27" s="98"/>
      <c r="AR27" s="99"/>
      <c r="CB27" s="10" t="s">
        <v>152</v>
      </c>
      <c r="CE27" s="10" t="s">
        <v>152</v>
      </c>
      <c r="CG27" s="10" t="s">
        <v>152</v>
      </c>
      <c r="CH27" s="10" t="s">
        <v>152</v>
      </c>
    </row>
    <row r="28" spans="2:86" s="10" customFormat="1" ht="14.25" customHeight="1">
      <c r="B28" s="250"/>
      <c r="C28" s="52"/>
      <c r="D28" s="52"/>
      <c r="E28" s="36"/>
      <c r="F28" s="201"/>
      <c r="G28" s="201"/>
      <c r="H28" s="201"/>
      <c r="I28" s="201"/>
      <c r="J28" s="201"/>
      <c r="K28" s="201"/>
      <c r="L28" s="201"/>
      <c r="M28" s="208"/>
      <c r="N28" s="208"/>
      <c r="O28" s="208"/>
      <c r="P28" s="208"/>
      <c r="Q28" s="208"/>
      <c r="R28" s="208"/>
      <c r="S28" s="56"/>
      <c r="T28" s="52" t="str">
        <f>IF((E28+F28+G28+H28+I28+J28+K28+L28+M28+N28+O28+P28+Q28+R28+S28)&lt;&gt;0,(#REF!+E28+F28+G28+H28+I28+J28+K28+L28+M28+N28+O28+P28+Q28+R28+S28),"")</f>
        <v/>
      </c>
      <c r="U28" s="65" t="str">
        <f>IF((E28+F28+G28+H28)&lt;&gt;0,(4.07*H28-7.6*E28-6.72*F28-1.43*G28)*100/(100-#REF!),"")</f>
        <v/>
      </c>
      <c r="V28" s="136" t="str">
        <f t="shared" si="10"/>
        <v/>
      </c>
      <c r="W28" s="136" t="str">
        <f t="shared" si="11"/>
        <v/>
      </c>
      <c r="X28" s="60" t="str">
        <f t="shared" si="12"/>
        <v/>
      </c>
      <c r="Y28" s="60" t="str">
        <f t="shared" si="13"/>
        <v/>
      </c>
      <c r="Z28" s="304">
        <v>70</v>
      </c>
      <c r="AA28" s="134" t="str">
        <f t="shared" si="14"/>
        <v/>
      </c>
      <c r="AB28" s="15"/>
      <c r="AC28" s="16"/>
      <c r="AD28" s="46"/>
      <c r="AF28" s="101"/>
      <c r="AG28" s="127"/>
      <c r="AH28" s="121"/>
      <c r="AI28" s="102"/>
      <c r="AJ28" s="122"/>
      <c r="AK28" s="98"/>
      <c r="AL28" s="98"/>
      <c r="AM28" s="98"/>
      <c r="AN28" s="98"/>
      <c r="AO28" s="98"/>
      <c r="AP28" s="98"/>
      <c r="AQ28" s="98"/>
      <c r="AR28" s="99"/>
      <c r="CB28" s="10" t="s">
        <v>152</v>
      </c>
      <c r="CE28" s="10" t="s">
        <v>152</v>
      </c>
      <c r="CG28" s="10" t="s">
        <v>152</v>
      </c>
      <c r="CH28" s="10" t="s">
        <v>152</v>
      </c>
    </row>
    <row r="29" spans="2:86" s="10" customFormat="1" ht="13.5" customHeight="1">
      <c r="B29" s="250"/>
      <c r="C29" s="52"/>
      <c r="D29" s="52"/>
      <c r="E29" s="36"/>
      <c r="F29" s="201"/>
      <c r="G29" s="201"/>
      <c r="H29" s="201"/>
      <c r="I29" s="201"/>
      <c r="J29" s="201"/>
      <c r="K29" s="316"/>
      <c r="L29" s="201"/>
      <c r="M29" s="208"/>
      <c r="N29" s="208"/>
      <c r="O29" s="208"/>
      <c r="P29" s="208"/>
      <c r="Q29" s="208"/>
      <c r="R29" s="208"/>
      <c r="S29" s="56"/>
      <c r="T29" s="52" t="str">
        <f>IF((E29+F29+G29+H29+I29+J29+K29+L29+M29+N29+O29+P29+Q29+R29+S29)&lt;&gt;0,(#REF!+E29+F29+G29+H29+I29+J29+K29+L29+M29+N29+O29+P29+Q29+R29+S29),"")</f>
        <v/>
      </c>
      <c r="U29" s="65" t="str">
        <f>IF((E29+F29+G29+H29)&lt;&gt;0,(4.07*H29-7.6*E29-6.72*F29-1.43*G29)*100/(100-#REF!),"")</f>
        <v/>
      </c>
      <c r="V29" s="136" t="str">
        <f t="shared" si="10"/>
        <v/>
      </c>
      <c r="W29" s="136" t="str">
        <f t="shared" si="11"/>
        <v/>
      </c>
      <c r="X29" s="60" t="str">
        <f t="shared" si="12"/>
        <v/>
      </c>
      <c r="Y29" s="60" t="str">
        <f t="shared" si="13"/>
        <v/>
      </c>
      <c r="Z29" s="304">
        <v>70</v>
      </c>
      <c r="AA29" s="134" t="str">
        <f t="shared" si="14"/>
        <v/>
      </c>
      <c r="AB29" s="15"/>
      <c r="AC29" s="16"/>
      <c r="AD29" s="46"/>
      <c r="AF29" s="101"/>
      <c r="AG29" s="127"/>
      <c r="AH29" s="121"/>
      <c r="AI29" s="102"/>
      <c r="AJ29" s="122"/>
      <c r="AK29" s="98"/>
      <c r="AL29" s="98"/>
      <c r="AM29" s="98"/>
      <c r="AN29" s="98"/>
      <c r="AO29" s="98"/>
      <c r="AP29" s="98"/>
      <c r="AQ29" s="98"/>
      <c r="AR29" s="99"/>
      <c r="CB29" s="10" t="s">
        <v>152</v>
      </c>
      <c r="CE29" s="10" t="s">
        <v>152</v>
      </c>
      <c r="CG29" s="10" t="s">
        <v>152</v>
      </c>
      <c r="CH29" s="10" t="s">
        <v>152</v>
      </c>
    </row>
    <row r="30" spans="2:86" s="10" customFormat="1" ht="13.5" customHeight="1">
      <c r="B30" s="250"/>
      <c r="C30" s="52"/>
      <c r="D30" s="52"/>
      <c r="E30" s="36"/>
      <c r="F30" s="201"/>
      <c r="G30" s="201"/>
      <c r="H30" s="201"/>
      <c r="I30" s="201"/>
      <c r="J30" s="201"/>
      <c r="K30" s="201"/>
      <c r="L30" s="201"/>
      <c r="M30" s="208"/>
      <c r="N30" s="208"/>
      <c r="O30" s="208"/>
      <c r="P30" s="208"/>
      <c r="Q30" s="208"/>
      <c r="R30" s="208"/>
      <c r="S30" s="56"/>
      <c r="T30" s="52" t="str">
        <f>IF((E30+F30+G30+H30+I30+J30+K30+L30+M30+N30+O30+P30+Q30+R30+S30)&lt;&gt;0,(#REF!+E30+F30+G30+H30+I30+J30+K30+L30+M30+N30+O30+P30+Q30+R30+S30),"")</f>
        <v/>
      </c>
      <c r="U30" s="65" t="str">
        <f>IF((E30+F30+G30+H30)&lt;&gt;0,(4.07*H30-7.6*E30-6.72*F30-1.43*G30)*100/(100-#REF!),"")</f>
        <v/>
      </c>
      <c r="V30" s="136" t="str">
        <f t="shared" si="10"/>
        <v/>
      </c>
      <c r="W30" s="136" t="str">
        <f t="shared" si="11"/>
        <v/>
      </c>
      <c r="X30" s="60" t="str">
        <f t="shared" si="12"/>
        <v/>
      </c>
      <c r="Y30" s="60" t="str">
        <f t="shared" si="13"/>
        <v/>
      </c>
      <c r="Z30" s="304">
        <v>70</v>
      </c>
      <c r="AA30" s="135" t="str">
        <f t="shared" si="14"/>
        <v/>
      </c>
      <c r="AB30" s="15"/>
      <c r="AC30" s="16"/>
      <c r="AD30" s="46"/>
      <c r="AF30" s="101"/>
      <c r="AG30" s="127"/>
      <c r="AH30" s="121"/>
      <c r="AI30" s="102"/>
      <c r="AJ30" s="122"/>
      <c r="AK30" s="98"/>
      <c r="AL30" s="98"/>
      <c r="AM30" s="98"/>
      <c r="AN30" s="98"/>
      <c r="AO30" s="98"/>
      <c r="AP30" s="98"/>
      <c r="AQ30" s="98"/>
      <c r="AR30" s="99"/>
      <c r="CB30" s="10" t="s">
        <v>152</v>
      </c>
      <c r="CE30" s="10" t="s">
        <v>152</v>
      </c>
      <c r="CG30" s="10" t="s">
        <v>152</v>
      </c>
      <c r="CH30" s="10" t="s">
        <v>152</v>
      </c>
    </row>
    <row r="31" spans="2:86" s="10" customFormat="1" ht="13.5" customHeight="1">
      <c r="B31" s="250"/>
      <c r="C31" s="52"/>
      <c r="D31" s="52"/>
      <c r="E31" s="36"/>
      <c r="F31" s="201"/>
      <c r="G31" s="201"/>
      <c r="H31" s="201"/>
      <c r="I31" s="316"/>
      <c r="J31" s="201"/>
      <c r="K31" s="201"/>
      <c r="L31" s="201"/>
      <c r="M31" s="208"/>
      <c r="N31" s="208"/>
      <c r="O31" s="208"/>
      <c r="P31" s="208"/>
      <c r="Q31" s="208"/>
      <c r="R31" s="208"/>
      <c r="S31" s="56"/>
      <c r="T31" s="52" t="str">
        <f>IF((E31+F31+G31+H31+I31+J31+K31+L31+M31+N31+O31+P31+Q31+R31+S31)&lt;&gt;0,(#REF!+E31+F31+G31+H31+I31+J31+K31+L31+M31+N31+O31+P31+Q31+R31+S31),"")</f>
        <v/>
      </c>
      <c r="U31" s="65" t="str">
        <f>IF((E31+F31+G31+H31)&lt;&gt;0,(4.07*H31-7.6*E31-6.72*F31-1.43*G31)*100/(100-#REF!),"")</f>
        <v/>
      </c>
      <c r="V31" s="136" t="str">
        <f t="shared" si="10"/>
        <v/>
      </c>
      <c r="W31" s="136" t="str">
        <f t="shared" si="11"/>
        <v/>
      </c>
      <c r="X31" s="60" t="str">
        <f t="shared" si="12"/>
        <v/>
      </c>
      <c r="Y31" s="60" t="str">
        <f t="shared" si="13"/>
        <v/>
      </c>
      <c r="Z31" s="304">
        <v>70</v>
      </c>
      <c r="AA31" s="135" t="str">
        <f t="shared" si="14"/>
        <v/>
      </c>
      <c r="AB31" s="15"/>
      <c r="AC31" s="16"/>
      <c r="AD31" s="46"/>
      <c r="AF31" s="101"/>
      <c r="AG31" s="127"/>
      <c r="AH31" s="121"/>
      <c r="AI31" s="102"/>
      <c r="AJ31" s="122"/>
      <c r="AK31" s="98"/>
      <c r="AL31" s="98"/>
      <c r="AM31" s="98"/>
      <c r="AN31" s="98"/>
      <c r="AO31" s="98"/>
      <c r="AP31" s="98"/>
      <c r="AQ31" s="98"/>
      <c r="AR31" s="99"/>
      <c r="CB31" s="10" t="s">
        <v>152</v>
      </c>
      <c r="CE31" s="10" t="s">
        <v>152</v>
      </c>
      <c r="CG31" s="10" t="s">
        <v>152</v>
      </c>
      <c r="CH31" s="10" t="s">
        <v>152</v>
      </c>
    </row>
    <row r="32" spans="2:86" s="10" customFormat="1" ht="13.5" customHeight="1">
      <c r="B32" s="250"/>
      <c r="C32" s="52"/>
      <c r="D32" s="52"/>
      <c r="E32" s="36"/>
      <c r="F32" s="201"/>
      <c r="G32" s="201"/>
      <c r="H32" s="201"/>
      <c r="I32" s="201"/>
      <c r="J32" s="201"/>
      <c r="K32" s="201"/>
      <c r="L32" s="201"/>
      <c r="M32" s="208"/>
      <c r="N32" s="208"/>
      <c r="O32" s="208"/>
      <c r="P32" s="208"/>
      <c r="Q32" s="208"/>
      <c r="R32" s="208"/>
      <c r="S32" s="56"/>
      <c r="T32" s="52" t="str">
        <f>IF((E32+F32+G32+H32+I32+J32+K32+L32+M32+N32+O32+P32+Q32+R32+S32)&lt;&gt;0,(#REF!+E32+F32+G32+H32+I32+J32+K32+L32+M32+N32+O32+P32+Q32+R32+S32),"")</f>
        <v/>
      </c>
      <c r="U32" s="65" t="str">
        <f>IF((E32+F32+G32+H32)&lt;&gt;0,(4.07*H32-7.6*E32-6.72*F32-1.43*G32)*100/(100-#REF!),"")</f>
        <v/>
      </c>
      <c r="V32" s="136" t="str">
        <f t="shared" si="10"/>
        <v/>
      </c>
      <c r="W32" s="136" t="str">
        <f t="shared" si="11"/>
        <v/>
      </c>
      <c r="X32" s="60" t="str">
        <f t="shared" si="12"/>
        <v/>
      </c>
      <c r="Y32" s="60" t="str">
        <f t="shared" si="13"/>
        <v/>
      </c>
      <c r="Z32" s="304">
        <v>70</v>
      </c>
      <c r="AA32" s="135" t="str">
        <f t="shared" si="14"/>
        <v/>
      </c>
      <c r="AB32" s="15"/>
      <c r="AC32" s="16"/>
      <c r="AD32" s="46"/>
      <c r="AF32" s="101"/>
      <c r="AG32" s="127"/>
      <c r="AH32" s="121"/>
      <c r="AI32" s="102"/>
      <c r="AJ32" s="122"/>
      <c r="AK32" s="98"/>
      <c r="AL32" s="98"/>
      <c r="AM32" s="98"/>
      <c r="AN32" s="98"/>
      <c r="AO32" s="98"/>
      <c r="AP32" s="98"/>
      <c r="AQ32" s="98"/>
      <c r="AR32" s="99"/>
      <c r="CB32" s="10" t="s">
        <v>152</v>
      </c>
      <c r="CE32" s="10" t="s">
        <v>152</v>
      </c>
      <c r="CG32" s="10" t="s">
        <v>152</v>
      </c>
      <c r="CH32" s="10" t="s">
        <v>152</v>
      </c>
    </row>
    <row r="33" spans="2:86" s="10" customFormat="1" ht="13.5" customHeight="1" thickBot="1">
      <c r="B33" s="252"/>
      <c r="C33" s="212"/>
      <c r="D33" s="212"/>
      <c r="E33" s="37"/>
      <c r="F33" s="19"/>
      <c r="G33" s="24"/>
      <c r="H33" s="24"/>
      <c r="I33" s="19"/>
      <c r="J33" s="19"/>
      <c r="K33" s="19"/>
      <c r="L33" s="19"/>
      <c r="M33" s="24"/>
      <c r="N33" s="57"/>
      <c r="O33" s="57"/>
      <c r="P33" s="57"/>
      <c r="Q33" s="57"/>
      <c r="R33" s="24"/>
      <c r="S33" s="25"/>
      <c r="T33" s="212" t="str">
        <f>IF((E33+F33+G33+H33+I33+J33+K33+L33+M33+N33+O33+P33+Q33+R33+S33)&lt;&gt;0,(#REF!+E33+F33+G33+H33+I33+J33+K33+L33+M33+N33+O33+P33+Q33+R33+S33),"")</f>
        <v/>
      </c>
      <c r="U33" s="66" t="str">
        <f>IF((E33+F33+G33+H33)&lt;&gt;0,(4.07*H33-7.6*E33-6.72*F33-1.43*G33)*100/(100-#REF!),"")</f>
        <v/>
      </c>
      <c r="V33" s="137" t="str">
        <f t="shared" si="10"/>
        <v/>
      </c>
      <c r="W33" s="137" t="str">
        <f t="shared" si="11"/>
        <v/>
      </c>
      <c r="X33" s="62" t="str">
        <f t="shared" si="12"/>
        <v/>
      </c>
      <c r="Y33" s="62" t="str">
        <f t="shared" si="13"/>
        <v/>
      </c>
      <c r="Z33" s="359">
        <v>70</v>
      </c>
      <c r="AA33" s="167" t="str">
        <f t="shared" si="14"/>
        <v/>
      </c>
      <c r="AB33" s="22"/>
      <c r="AC33" s="23"/>
      <c r="AD33" s="47"/>
      <c r="AF33" s="119"/>
      <c r="AG33" s="128"/>
      <c r="AH33" s="129"/>
      <c r="AI33" s="118"/>
      <c r="AJ33" s="130"/>
      <c r="AK33" s="120"/>
      <c r="AL33" s="120"/>
      <c r="AM33" s="120"/>
      <c r="AN33" s="120"/>
      <c r="AO33" s="120"/>
      <c r="AP33" s="120"/>
      <c r="AQ33" s="120"/>
      <c r="AR33" s="123"/>
      <c r="CB33" s="10" t="s">
        <v>152</v>
      </c>
      <c r="CE33" s="10" t="s">
        <v>152</v>
      </c>
      <c r="CG33" s="10" t="s">
        <v>152</v>
      </c>
      <c r="CH33" s="10" t="s">
        <v>152</v>
      </c>
    </row>
    <row r="34" spans="2:86">
      <c r="K34" s="71"/>
      <c r="Z34" s="30"/>
    </row>
    <row r="35" spans="2:86">
      <c r="F35" s="32" t="s">
        <v>36</v>
      </c>
      <c r="Z35" s="30" t="s">
        <v>36</v>
      </c>
      <c r="AQ35" s="74" t="s">
        <v>36</v>
      </c>
    </row>
    <row r="36" spans="2:86">
      <c r="K36" s="71"/>
      <c r="Z36" s="30"/>
      <c r="AK36" s="74" t="s">
        <v>36</v>
      </c>
    </row>
    <row r="37" spans="2:86">
      <c r="F37" s="30"/>
      <c r="G37" s="30"/>
      <c r="H37" s="30"/>
      <c r="K37" s="30"/>
      <c r="L37" s="30"/>
      <c r="M37" s="30"/>
      <c r="N37" s="30"/>
      <c r="O37" s="30"/>
      <c r="P37" s="30"/>
      <c r="Q37" s="30"/>
      <c r="R37" s="30"/>
      <c r="S37" s="30"/>
    </row>
    <row r="38" spans="2:86">
      <c r="F38" s="30"/>
      <c r="G38" s="30"/>
      <c r="H38" s="30"/>
      <c r="K38" s="30"/>
      <c r="L38" s="30"/>
      <c r="M38" s="30"/>
      <c r="N38" s="30"/>
      <c r="O38" s="30"/>
      <c r="P38" s="30"/>
      <c r="Q38" s="30"/>
      <c r="R38" s="30"/>
      <c r="S38" s="30"/>
    </row>
    <row r="39" spans="2:86">
      <c r="K39" s="71"/>
    </row>
    <row r="44" spans="2:86">
      <c r="S44" s="30"/>
      <c r="U44" s="84"/>
      <c r="W44" s="31"/>
      <c r="AD44" s="9"/>
      <c r="AE44" s="74"/>
      <c r="AR44" s="9"/>
    </row>
    <row r="50" spans="19:19">
      <c r="S50" s="31" t="s">
        <v>107</v>
      </c>
    </row>
    <row r="56" spans="19:19">
      <c r="S56" s="31">
        <v>6</v>
      </c>
    </row>
    <row r="279" spans="5:21">
      <c r="E279" s="32">
        <v>5.91</v>
      </c>
      <c r="G279" s="32">
        <v>3.05</v>
      </c>
      <c r="L279" s="31">
        <v>5.71</v>
      </c>
      <c r="T279" s="30">
        <v>2.0099999999999998</v>
      </c>
      <c r="U279" s="31">
        <v>0.94</v>
      </c>
    </row>
  </sheetData>
  <mergeCells count="3">
    <mergeCell ref="V7:W7"/>
    <mergeCell ref="C8:T8"/>
    <mergeCell ref="AB8:AC8"/>
  </mergeCells>
  <conditionalFormatting sqref="I25 I17 I33">
    <cfRule type="cellIs" dxfId="2" priority="2" stopIfTrue="1" operator="greaterThan">
      <formula>1.2</formula>
    </cfRule>
    <cfRule type="cellIs" dxfId="1" priority="3" stopIfTrue="1" operator="greaterThan">
      <formula>1.05</formula>
    </cfRule>
  </conditionalFormatting>
  <conditionalFormatting sqref="J17 J13 J25 J15 J33">
    <cfRule type="cellIs" dxfId="0" priority="1" stopIfTrue="1" operator="greaterThan">
      <formula>0.35</formula>
    </cfRule>
  </conditionalFormatting>
  <printOptions gridLines="1" gridLinesSet="0"/>
  <pageMargins left="0.75" right="0.75" top="1" bottom="1" header="0.5" footer="0.5"/>
  <pageSetup paperSize="9" orientation="portrait" horizontalDpi="4294967292" verticalDpi="180" r:id="rId1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>
    <tabColor rgb="FF006600"/>
    <pageSetUpPr fitToPage="1"/>
  </sheetPr>
  <dimension ref="A1:CH3722"/>
  <sheetViews>
    <sheetView zoomScaleNormal="100" zoomScaleSheetLayoutView="90" workbookViewId="0">
      <pane xSplit="3" ySplit="9" topLeftCell="D10" activePane="bottomRight" state="frozen"/>
      <selection activeCell="I36" activeCellId="7" sqref="AC3 O2 D36 B37 M35 B35 AD2:AI2 I36"/>
      <selection pane="topRight" activeCell="I36" activeCellId="7" sqref="AC3 O2 D36 B37 M35 B35 AD2:AI2 I36"/>
      <selection pane="bottomLeft" activeCell="I36" activeCellId="7" sqref="AC3 O2 D36 B37 M35 B35 AD2:AI2 I36"/>
      <selection pane="bottomRight" activeCell="B1" sqref="B1"/>
    </sheetView>
  </sheetViews>
  <sheetFormatPr defaultColWidth="9.140625" defaultRowHeight="12.75"/>
  <cols>
    <col min="1" max="1" width="40.5703125" style="9" bestFit="1" customWidth="1"/>
    <col min="2" max="2" width="9.140625" style="2" bestFit="1" customWidth="1"/>
    <col min="3" max="3" width="12.140625" style="2" customWidth="1"/>
    <col min="4" max="4" width="8.28515625" style="32" customWidth="1"/>
    <col min="5" max="5" width="8.85546875" style="73" customWidth="1"/>
    <col min="6" max="6" width="9.5703125" style="32" customWidth="1"/>
    <col min="7" max="7" width="6.42578125" style="31" customWidth="1"/>
    <col min="8" max="8" width="6.7109375" style="32" customWidth="1"/>
    <col min="9" max="9" width="6.5703125" style="30" customWidth="1"/>
    <col min="10" max="10" width="6.42578125" style="30" customWidth="1"/>
    <col min="11" max="11" width="7.5703125" style="31" customWidth="1"/>
    <col min="12" max="12" width="6.28515625" style="30" customWidth="1"/>
    <col min="13" max="13" width="6" style="30" customWidth="1"/>
    <col min="14" max="14" width="5.7109375" style="31" customWidth="1"/>
    <col min="15" max="15" width="6" style="31" customWidth="1"/>
    <col min="16" max="17" width="5.5703125" style="31" customWidth="1"/>
    <col min="18" max="18" width="6.42578125" style="31" customWidth="1"/>
    <col min="19" max="19" width="7.140625" style="31" customWidth="1"/>
    <col min="20" max="20" width="5.5703125" style="31" customWidth="1"/>
    <col min="21" max="21" width="5.140625" style="31" customWidth="1"/>
    <col min="22" max="22" width="5.5703125" style="31" customWidth="1"/>
    <col min="23" max="23" width="11" style="31" customWidth="1"/>
    <col min="24" max="24" width="9.28515625" style="64" customWidth="1"/>
    <col min="25" max="25" width="7.140625" style="31" customWidth="1"/>
    <col min="26" max="32" width="9.28515625" style="31" customWidth="1"/>
    <col min="33" max="33" width="10.7109375" style="31" customWidth="1"/>
    <col min="34" max="34" width="10" style="31" customWidth="1"/>
    <col min="35" max="35" width="11" style="31" customWidth="1"/>
    <col min="36" max="36" width="8.85546875" style="84" customWidth="1"/>
    <col min="37" max="37" width="11.85546875" style="84" customWidth="1"/>
    <col min="38" max="38" width="15.42578125" style="31" customWidth="1"/>
    <col min="39" max="39" width="9.5703125" style="31" customWidth="1"/>
    <col min="40" max="40" width="12" style="31" customWidth="1"/>
    <col min="41" max="41" width="13.42578125" style="31" customWidth="1"/>
    <col min="42" max="42" width="15.140625" style="31" customWidth="1"/>
    <col min="43" max="43" width="10.7109375" style="31" customWidth="1"/>
    <col min="44" max="44" width="10.7109375" style="30" customWidth="1"/>
    <col min="45" max="45" width="11.140625" style="31" customWidth="1"/>
    <col min="46" max="46" width="10.7109375" style="31" customWidth="1"/>
    <col min="47" max="47" width="8.7109375" style="9" customWidth="1"/>
    <col min="48" max="48" width="42.42578125" style="9" customWidth="1"/>
    <col min="49" max="49" width="8.7109375" style="9" customWidth="1"/>
    <col min="50" max="50" width="16.42578125" style="74" customWidth="1"/>
    <col min="51" max="51" width="14.140625" style="74" customWidth="1"/>
    <col min="52" max="55" width="8.7109375" style="74" customWidth="1"/>
    <col min="56" max="59" width="13.5703125" style="74" customWidth="1"/>
    <col min="60" max="60" width="12.140625" style="74" bestFit="1" customWidth="1"/>
    <col min="61" max="62" width="11.140625" style="74" customWidth="1"/>
    <col min="63" max="63" width="14" style="74" customWidth="1"/>
    <col min="64" max="64" width="8.140625" style="74" customWidth="1"/>
    <col min="65" max="65" width="9.42578125" style="74" bestFit="1" customWidth="1"/>
    <col min="66" max="66" width="11.85546875" style="74" customWidth="1"/>
    <col min="67" max="67" width="10.42578125" style="74" customWidth="1"/>
    <col min="68" max="68" width="9.5703125" style="74" customWidth="1"/>
    <col min="69" max="70" width="8.7109375" style="74" customWidth="1"/>
    <col min="71" max="72" width="11.7109375" style="74" customWidth="1"/>
    <col min="73" max="73" width="16.85546875" style="9" customWidth="1"/>
    <col min="74" max="16384" width="9.140625" style="9"/>
  </cols>
  <sheetData>
    <row r="1" spans="1:86" s="10" customFormat="1" ht="13.5" thickBot="1">
      <c r="A1" s="72" t="s">
        <v>127</v>
      </c>
      <c r="B1" s="72"/>
      <c r="C1" s="10" t="s">
        <v>143</v>
      </c>
      <c r="D1" s="30" t="s">
        <v>145</v>
      </c>
      <c r="E1" s="30" t="s">
        <v>145</v>
      </c>
      <c r="F1" s="30" t="s">
        <v>145</v>
      </c>
      <c r="W1" s="24"/>
      <c r="AJ1" s="29"/>
      <c r="AK1" s="29"/>
      <c r="AM1" s="9"/>
      <c r="AR1" s="202"/>
      <c r="AV1" s="10" t="s">
        <v>84</v>
      </c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</row>
    <row r="2" spans="1:86" s="10" customFormat="1" ht="13.5" thickBot="1">
      <c r="A2" s="291" t="s">
        <v>128</v>
      </c>
      <c r="B2" s="224"/>
      <c r="C2" s="408" t="s">
        <v>117</v>
      </c>
      <c r="D2" s="409">
        <f>COUNTIF(D10:D33,"&gt;0")</f>
        <v>0</v>
      </c>
      <c r="E2" s="409">
        <f>COUNTIF(E10:E33,"&gt;0")</f>
        <v>0</v>
      </c>
      <c r="F2" s="409">
        <f t="shared" ref="F2:AK2" si="0">COUNTIF(F10:F33,"&gt;0")</f>
        <v>0</v>
      </c>
      <c r="G2" s="409">
        <f>COUNTIF(G10:G33,"&gt;0")</f>
        <v>0</v>
      </c>
      <c r="H2" s="409">
        <f t="shared" si="0"/>
        <v>0</v>
      </c>
      <c r="I2" s="409">
        <f t="shared" si="0"/>
        <v>0</v>
      </c>
      <c r="J2" s="409">
        <f t="shared" si="0"/>
        <v>0</v>
      </c>
      <c r="K2" s="409">
        <f t="shared" si="0"/>
        <v>0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0</v>
      </c>
      <c r="P2" s="409">
        <f t="shared" si="0"/>
        <v>0</v>
      </c>
      <c r="Q2" s="409">
        <f t="shared" si="0"/>
        <v>0</v>
      </c>
      <c r="R2" s="409">
        <f t="shared" si="0"/>
        <v>0</v>
      </c>
      <c r="S2" s="409">
        <f t="shared" si="0"/>
        <v>0</v>
      </c>
      <c r="T2" s="409">
        <f t="shared" si="0"/>
        <v>0</v>
      </c>
      <c r="U2" s="409">
        <f t="shared" si="0"/>
        <v>0</v>
      </c>
      <c r="V2" s="409">
        <f t="shared" si="0"/>
        <v>0</v>
      </c>
      <c r="W2" s="409">
        <f t="shared" si="0"/>
        <v>0</v>
      </c>
      <c r="X2" s="409">
        <f t="shared" si="0"/>
        <v>0</v>
      </c>
      <c r="Y2" s="409">
        <f t="shared" si="0"/>
        <v>0</v>
      </c>
      <c r="Z2" s="409">
        <f t="shared" si="0"/>
        <v>0</v>
      </c>
      <c r="AA2" s="409">
        <f t="shared" si="0"/>
        <v>0</v>
      </c>
      <c r="AB2" s="409">
        <f t="shared" si="0"/>
        <v>0</v>
      </c>
      <c r="AC2" s="409">
        <f t="shared" si="0"/>
        <v>0</v>
      </c>
      <c r="AD2" s="409">
        <f t="shared" si="0"/>
        <v>0</v>
      </c>
      <c r="AE2" s="409">
        <f t="shared" si="0"/>
        <v>0</v>
      </c>
      <c r="AF2" s="409">
        <f t="shared" si="0"/>
        <v>0</v>
      </c>
      <c r="AG2" s="409">
        <f t="shared" si="0"/>
        <v>0</v>
      </c>
      <c r="AH2" s="409">
        <f t="shared" si="0"/>
        <v>0</v>
      </c>
      <c r="AI2" s="409">
        <f t="shared" si="0"/>
        <v>0</v>
      </c>
      <c r="AJ2" s="409">
        <f t="shared" si="0"/>
        <v>24</v>
      </c>
      <c r="AK2" s="409">
        <f t="shared" si="0"/>
        <v>0</v>
      </c>
      <c r="AL2" s="409">
        <f t="shared" ref="AL2:AT2" si="1">COUNTIF(AL10:AL33,"&gt;0")</f>
        <v>0</v>
      </c>
      <c r="AM2" s="410"/>
      <c r="AN2" s="409">
        <f t="shared" si="1"/>
        <v>0</v>
      </c>
      <c r="AO2" s="409">
        <f t="shared" si="1"/>
        <v>0</v>
      </c>
      <c r="AP2" s="409">
        <f t="shared" si="1"/>
        <v>0</v>
      </c>
      <c r="AQ2" s="409">
        <f t="shared" si="1"/>
        <v>0</v>
      </c>
      <c r="AR2" s="409">
        <f t="shared" si="1"/>
        <v>0</v>
      </c>
      <c r="AS2" s="409">
        <f t="shared" si="1"/>
        <v>0</v>
      </c>
      <c r="AT2" s="409">
        <f t="shared" si="1"/>
        <v>0</v>
      </c>
      <c r="AV2" s="10" t="s">
        <v>36</v>
      </c>
      <c r="AX2" s="94"/>
      <c r="AY2" s="94"/>
      <c r="AZ2" s="94"/>
      <c r="BA2" s="94"/>
      <c r="BB2" s="94"/>
      <c r="BC2" s="94"/>
      <c r="BD2" s="409">
        <f t="shared" ref="BD2:BS2" si="2">COUNTIF(BD10:BD33,"&gt;0")</f>
        <v>0</v>
      </c>
      <c r="BE2" s="409">
        <f>COUNTIF(BE10:BE33,"&gt;0")</f>
        <v>0</v>
      </c>
      <c r="BF2" s="409">
        <f>COUNTIF(BF10:BF33,"&gt;0")</f>
        <v>0</v>
      </c>
      <c r="BG2" s="409">
        <f>COUNTIF(BG10:BG33,"&gt;0")</f>
        <v>0</v>
      </c>
      <c r="BH2" s="409">
        <f t="shared" si="2"/>
        <v>0</v>
      </c>
      <c r="BI2" s="409">
        <f t="shared" si="2"/>
        <v>0</v>
      </c>
      <c r="BJ2" s="409">
        <f t="shared" si="2"/>
        <v>0</v>
      </c>
      <c r="BK2" s="409">
        <f t="shared" si="2"/>
        <v>0</v>
      </c>
      <c r="BL2" s="409">
        <f t="shared" si="2"/>
        <v>0</v>
      </c>
      <c r="BM2" s="409">
        <f t="shared" si="2"/>
        <v>0</v>
      </c>
      <c r="BN2" s="409">
        <f t="shared" si="2"/>
        <v>0</v>
      </c>
      <c r="BO2" s="409">
        <f t="shared" si="2"/>
        <v>0</v>
      </c>
      <c r="BP2" s="409">
        <f t="shared" si="2"/>
        <v>0</v>
      </c>
      <c r="BQ2" s="409">
        <f t="shared" si="2"/>
        <v>0</v>
      </c>
      <c r="BR2" s="409">
        <f t="shared" si="2"/>
        <v>0</v>
      </c>
      <c r="BS2" s="409">
        <f t="shared" si="2"/>
        <v>0</v>
      </c>
      <c r="BT2" s="409"/>
    </row>
    <row r="3" spans="1:86" s="10" customFormat="1" ht="13.5" thickBot="1">
      <c r="A3" s="225" t="s">
        <v>35</v>
      </c>
      <c r="B3" s="292">
        <f>'Firin Girisi (Saatlik)'!C4</f>
        <v>43743</v>
      </c>
      <c r="C3" s="411" t="s">
        <v>118</v>
      </c>
      <c r="D3" s="409" t="e">
        <f>STDEV(D10:D33)</f>
        <v>#DIV/0!</v>
      </c>
      <c r="E3" s="409" t="e">
        <f>STDEV(E10:E33)</f>
        <v>#DIV/0!</v>
      </c>
      <c r="F3" s="409" t="e">
        <f t="shared" ref="F3:AK3" si="3">STDEV(F10:F33)</f>
        <v>#DIV/0!</v>
      </c>
      <c r="G3" s="409" t="e">
        <f>STDEV(G10:G33)</f>
        <v>#DIV/0!</v>
      </c>
      <c r="H3" s="409" t="e">
        <f t="shared" si="3"/>
        <v>#DIV/0!</v>
      </c>
      <c r="I3" s="409" t="e">
        <f t="shared" si="3"/>
        <v>#DIV/0!</v>
      </c>
      <c r="J3" s="409" t="e">
        <f t="shared" si="3"/>
        <v>#DIV/0!</v>
      </c>
      <c r="K3" s="409" t="e">
        <f t="shared" si="3"/>
        <v>#DIV/0!</v>
      </c>
      <c r="L3" s="409" t="e">
        <f t="shared" si="3"/>
        <v>#DIV/0!</v>
      </c>
      <c r="M3" s="409" t="e">
        <f t="shared" si="3"/>
        <v>#DIV/0!</v>
      </c>
      <c r="N3" s="409" t="e">
        <f t="shared" si="3"/>
        <v>#DIV/0!</v>
      </c>
      <c r="O3" s="409" t="e">
        <f t="shared" si="3"/>
        <v>#DIV/0!</v>
      </c>
      <c r="P3" s="409" t="e">
        <f t="shared" si="3"/>
        <v>#DIV/0!</v>
      </c>
      <c r="Q3" s="409" t="e">
        <f t="shared" si="3"/>
        <v>#DIV/0!</v>
      </c>
      <c r="R3" s="409" t="e">
        <f t="shared" si="3"/>
        <v>#DIV/0!</v>
      </c>
      <c r="S3" s="409" t="e">
        <f t="shared" si="3"/>
        <v>#DIV/0!</v>
      </c>
      <c r="T3" s="409" t="e">
        <f t="shared" si="3"/>
        <v>#DIV/0!</v>
      </c>
      <c r="U3" s="409" t="e">
        <f t="shared" si="3"/>
        <v>#DIV/0!</v>
      </c>
      <c r="V3" s="409" t="e">
        <f t="shared" si="3"/>
        <v>#DIV/0!</v>
      </c>
      <c r="W3" s="409" t="e">
        <f t="shared" si="3"/>
        <v>#DIV/0!</v>
      </c>
      <c r="X3" s="409" t="e">
        <f t="shared" si="3"/>
        <v>#DIV/0!</v>
      </c>
      <c r="Y3" s="409" t="e">
        <f t="shared" si="3"/>
        <v>#DIV/0!</v>
      </c>
      <c r="Z3" s="409" t="e">
        <f t="shared" si="3"/>
        <v>#DIV/0!</v>
      </c>
      <c r="AA3" s="409" t="e">
        <f t="shared" si="3"/>
        <v>#DIV/0!</v>
      </c>
      <c r="AB3" s="409" t="e">
        <f t="shared" si="3"/>
        <v>#DIV/0!</v>
      </c>
      <c r="AC3" s="409" t="e">
        <f t="shared" si="3"/>
        <v>#DIV/0!</v>
      </c>
      <c r="AD3" s="409" t="e">
        <f t="shared" si="3"/>
        <v>#DIV/0!</v>
      </c>
      <c r="AE3" s="409" t="e">
        <f t="shared" si="3"/>
        <v>#DIV/0!</v>
      </c>
      <c r="AF3" s="409" t="e">
        <f t="shared" si="3"/>
        <v>#DIV/0!</v>
      </c>
      <c r="AG3" s="409" t="e">
        <f t="shared" si="3"/>
        <v>#DIV/0!</v>
      </c>
      <c r="AH3" s="409" t="e">
        <f t="shared" si="3"/>
        <v>#DIV/0!</v>
      </c>
      <c r="AI3" s="409" t="e">
        <f t="shared" si="3"/>
        <v>#DIV/0!</v>
      </c>
      <c r="AJ3" s="409">
        <f t="shared" si="3"/>
        <v>0</v>
      </c>
      <c r="AK3" s="409" t="e">
        <f t="shared" si="3"/>
        <v>#DIV/0!</v>
      </c>
      <c r="AL3" s="409" t="e">
        <f t="shared" ref="AL3:AT3" si="4">STDEV(AL10:AL33)</f>
        <v>#DIV/0!</v>
      </c>
      <c r="AM3" s="410"/>
      <c r="AN3" s="409" t="e">
        <f t="shared" si="4"/>
        <v>#DIV/0!</v>
      </c>
      <c r="AO3" s="409" t="e">
        <f t="shared" si="4"/>
        <v>#DIV/0!</v>
      </c>
      <c r="AP3" s="409" t="e">
        <f t="shared" si="4"/>
        <v>#DIV/0!</v>
      </c>
      <c r="AQ3" s="409" t="e">
        <f t="shared" si="4"/>
        <v>#DIV/0!</v>
      </c>
      <c r="AR3" s="409" t="e">
        <f t="shared" si="4"/>
        <v>#DIV/0!</v>
      </c>
      <c r="AS3" s="409" t="e">
        <f t="shared" si="4"/>
        <v>#DIV/0!</v>
      </c>
      <c r="AT3" s="409" t="e">
        <f t="shared" si="4"/>
        <v>#DIV/0!</v>
      </c>
      <c r="AX3" s="94"/>
      <c r="AY3" s="94"/>
      <c r="AZ3" s="94"/>
      <c r="BA3" s="94"/>
      <c r="BB3" s="94"/>
      <c r="BC3" s="94"/>
      <c r="BD3" s="409" t="e">
        <f t="shared" ref="BD3:BS3" si="5">STDEV(BD10:BD33)</f>
        <v>#DIV/0!</v>
      </c>
      <c r="BE3" s="409" t="e">
        <f>STDEV(BE10:BE33)</f>
        <v>#DIV/0!</v>
      </c>
      <c r="BF3" s="409" t="e">
        <f>STDEV(BF10:BF33)</f>
        <v>#DIV/0!</v>
      </c>
      <c r="BG3" s="409" t="e">
        <f>STDEV(BG10:BG33)</f>
        <v>#DIV/0!</v>
      </c>
      <c r="BH3" s="409" t="e">
        <f t="shared" si="5"/>
        <v>#DIV/0!</v>
      </c>
      <c r="BI3" s="409" t="e">
        <f t="shared" si="5"/>
        <v>#DIV/0!</v>
      </c>
      <c r="BJ3" s="409" t="e">
        <f t="shared" si="5"/>
        <v>#DIV/0!</v>
      </c>
      <c r="BK3" s="409" t="e">
        <f t="shared" si="5"/>
        <v>#DIV/0!</v>
      </c>
      <c r="BL3" s="409" t="e">
        <f t="shared" si="5"/>
        <v>#DIV/0!</v>
      </c>
      <c r="BM3" s="409" t="e">
        <f t="shared" si="5"/>
        <v>#DIV/0!</v>
      </c>
      <c r="BN3" s="409" t="e">
        <f t="shared" si="5"/>
        <v>#DIV/0!</v>
      </c>
      <c r="BO3" s="409" t="e">
        <f t="shared" si="5"/>
        <v>#DIV/0!</v>
      </c>
      <c r="BP3" s="409" t="e">
        <f t="shared" si="5"/>
        <v>#DIV/0!</v>
      </c>
      <c r="BQ3" s="409" t="e">
        <f t="shared" si="5"/>
        <v>#DIV/0!</v>
      </c>
      <c r="BR3" s="409" t="e">
        <f t="shared" si="5"/>
        <v>#DIV/0!</v>
      </c>
      <c r="BS3" s="409" t="e">
        <f t="shared" si="5"/>
        <v>#DIV/0!</v>
      </c>
      <c r="BT3" s="409"/>
      <c r="BU3" s="93"/>
      <c r="BV3" s="93"/>
      <c r="BW3" s="93"/>
      <c r="BX3" s="93"/>
      <c r="BY3" s="93"/>
      <c r="BZ3" s="93"/>
      <c r="CA3" s="93"/>
      <c r="CB3" s="93"/>
      <c r="CC3" s="93"/>
      <c r="CD3" s="93"/>
      <c r="CE3" s="93"/>
      <c r="CF3" s="93"/>
    </row>
    <row r="4" spans="1:86" s="10" customFormat="1">
      <c r="B4" s="1"/>
      <c r="C4" s="411" t="s">
        <v>119</v>
      </c>
      <c r="D4" s="409" t="e">
        <f>AVERAGE(D10:D33)</f>
        <v>#DIV/0!</v>
      </c>
      <c r="E4" s="409" t="e">
        <f>AVERAGE(E10:E33)</f>
        <v>#DIV/0!</v>
      </c>
      <c r="F4" s="409" t="e">
        <f t="shared" ref="F4:AK4" si="6">AVERAGE(F10:F33)</f>
        <v>#DIV/0!</v>
      </c>
      <c r="G4" s="409" t="e">
        <f>AVERAGE(G10:G33)</f>
        <v>#DIV/0!</v>
      </c>
      <c r="H4" s="409" t="e">
        <f t="shared" si="6"/>
        <v>#DIV/0!</v>
      </c>
      <c r="I4" s="409" t="e">
        <f t="shared" si="6"/>
        <v>#DIV/0!</v>
      </c>
      <c r="J4" s="409" t="e">
        <f t="shared" si="6"/>
        <v>#DIV/0!</v>
      </c>
      <c r="K4" s="409" t="e">
        <f t="shared" si="6"/>
        <v>#DIV/0!</v>
      </c>
      <c r="L4" s="409" t="e">
        <f t="shared" si="6"/>
        <v>#DIV/0!</v>
      </c>
      <c r="M4" s="409" t="e">
        <f t="shared" si="6"/>
        <v>#DIV/0!</v>
      </c>
      <c r="N4" s="409" t="e">
        <f t="shared" si="6"/>
        <v>#DIV/0!</v>
      </c>
      <c r="O4" s="409" t="e">
        <f t="shared" si="6"/>
        <v>#DIV/0!</v>
      </c>
      <c r="P4" s="409" t="e">
        <f t="shared" si="6"/>
        <v>#DIV/0!</v>
      </c>
      <c r="Q4" s="409" t="e">
        <f t="shared" si="6"/>
        <v>#DIV/0!</v>
      </c>
      <c r="R4" s="409" t="e">
        <f t="shared" si="6"/>
        <v>#DIV/0!</v>
      </c>
      <c r="S4" s="409" t="e">
        <f t="shared" si="6"/>
        <v>#DIV/0!</v>
      </c>
      <c r="T4" s="409" t="e">
        <f t="shared" si="6"/>
        <v>#DIV/0!</v>
      </c>
      <c r="U4" s="409" t="e">
        <f t="shared" si="6"/>
        <v>#DIV/0!</v>
      </c>
      <c r="V4" s="409" t="e">
        <f t="shared" si="6"/>
        <v>#DIV/0!</v>
      </c>
      <c r="W4" s="409" t="e">
        <f t="shared" si="6"/>
        <v>#DIV/0!</v>
      </c>
      <c r="X4" s="409" t="e">
        <f t="shared" si="6"/>
        <v>#DIV/0!</v>
      </c>
      <c r="Y4" s="409" t="e">
        <f t="shared" si="6"/>
        <v>#DIV/0!</v>
      </c>
      <c r="Z4" s="409" t="e">
        <f t="shared" si="6"/>
        <v>#DIV/0!</v>
      </c>
      <c r="AA4" s="409" t="e">
        <f t="shared" si="6"/>
        <v>#DIV/0!</v>
      </c>
      <c r="AB4" s="409" t="e">
        <f t="shared" si="6"/>
        <v>#DIV/0!</v>
      </c>
      <c r="AC4" s="409" t="e">
        <f t="shared" si="6"/>
        <v>#DIV/0!</v>
      </c>
      <c r="AD4" s="409" t="e">
        <f t="shared" si="6"/>
        <v>#DIV/0!</v>
      </c>
      <c r="AE4" s="409" t="e">
        <f t="shared" si="6"/>
        <v>#DIV/0!</v>
      </c>
      <c r="AF4" s="409" t="e">
        <f t="shared" si="6"/>
        <v>#DIV/0!</v>
      </c>
      <c r="AG4" s="409" t="e">
        <f t="shared" si="6"/>
        <v>#DIV/0!</v>
      </c>
      <c r="AH4" s="409" t="e">
        <f t="shared" si="6"/>
        <v>#DIV/0!</v>
      </c>
      <c r="AI4" s="409" t="e">
        <f t="shared" si="6"/>
        <v>#DIV/0!</v>
      </c>
      <c r="AJ4" s="409">
        <f t="shared" si="6"/>
        <v>59</v>
      </c>
      <c r="AK4" s="409" t="e">
        <f t="shared" si="6"/>
        <v>#DIV/0!</v>
      </c>
      <c r="AL4" s="409" t="e">
        <f t="shared" ref="AL4:AT4" si="7">AVERAGE(AL10:AL33)</f>
        <v>#DIV/0!</v>
      </c>
      <c r="AM4" s="410"/>
      <c r="AN4" s="409" t="e">
        <f t="shared" si="7"/>
        <v>#DIV/0!</v>
      </c>
      <c r="AO4" s="409" t="e">
        <f t="shared" si="7"/>
        <v>#DIV/0!</v>
      </c>
      <c r="AP4" s="409" t="e">
        <f t="shared" si="7"/>
        <v>#DIV/0!</v>
      </c>
      <c r="AQ4" s="409" t="e">
        <f t="shared" si="7"/>
        <v>#DIV/0!</v>
      </c>
      <c r="AR4" s="409" t="e">
        <f t="shared" si="7"/>
        <v>#DIV/0!</v>
      </c>
      <c r="AS4" s="409" t="e">
        <f t="shared" si="7"/>
        <v>#DIV/0!</v>
      </c>
      <c r="AT4" s="409" t="e">
        <f t="shared" si="7"/>
        <v>#DIV/0!</v>
      </c>
      <c r="AX4" s="94"/>
      <c r="AY4" s="94"/>
      <c r="AZ4" s="94"/>
      <c r="BA4" s="94"/>
      <c r="BB4" s="94"/>
      <c r="BC4" s="94"/>
      <c r="BD4" s="409" t="e">
        <f t="shared" ref="BD4:BS4" si="8">AVERAGE(BD10:BD33)</f>
        <v>#DIV/0!</v>
      </c>
      <c r="BE4" s="409" t="e">
        <f>AVERAGE(BE10:BE33)</f>
        <v>#DIV/0!</v>
      </c>
      <c r="BF4" s="409" t="e">
        <f>AVERAGE(BF10:BF33)</f>
        <v>#DIV/0!</v>
      </c>
      <c r="BG4" s="409" t="e">
        <f>AVERAGE(BG10:BG33)</f>
        <v>#DIV/0!</v>
      </c>
      <c r="BH4" s="409" t="e">
        <f t="shared" si="8"/>
        <v>#DIV/0!</v>
      </c>
      <c r="BI4" s="409" t="e">
        <f t="shared" si="8"/>
        <v>#DIV/0!</v>
      </c>
      <c r="BJ4" s="409" t="e">
        <f t="shared" si="8"/>
        <v>#DIV/0!</v>
      </c>
      <c r="BK4" s="409" t="e">
        <f t="shared" si="8"/>
        <v>#DIV/0!</v>
      </c>
      <c r="BL4" s="409" t="e">
        <f t="shared" si="8"/>
        <v>#DIV/0!</v>
      </c>
      <c r="BM4" s="409" t="e">
        <f t="shared" si="8"/>
        <v>#DIV/0!</v>
      </c>
      <c r="BN4" s="409" t="e">
        <f t="shared" si="8"/>
        <v>#DIV/0!</v>
      </c>
      <c r="BO4" s="409" t="e">
        <f t="shared" si="8"/>
        <v>#DIV/0!</v>
      </c>
      <c r="BP4" s="409" t="e">
        <f t="shared" si="8"/>
        <v>#DIV/0!</v>
      </c>
      <c r="BQ4" s="409" t="e">
        <f t="shared" si="8"/>
        <v>#DIV/0!</v>
      </c>
      <c r="BR4" s="409" t="e">
        <f t="shared" si="8"/>
        <v>#DIV/0!</v>
      </c>
      <c r="BS4" s="409" t="e">
        <f t="shared" si="8"/>
        <v>#DIV/0!</v>
      </c>
      <c r="BT4" s="409"/>
      <c r="BU4" s="93"/>
      <c r="BV4" s="93"/>
      <c r="BW4" s="93"/>
      <c r="BX4"/>
      <c r="BY4" s="93"/>
      <c r="BZ4" s="93"/>
      <c r="CA4" s="93"/>
      <c r="CB4" s="93"/>
      <c r="CC4" s="93"/>
      <c r="CD4" s="93"/>
      <c r="CE4" s="93"/>
      <c r="CF4" s="93"/>
    </row>
    <row r="5" spans="1:86" s="10" customFormat="1">
      <c r="B5" s="1"/>
      <c r="C5" s="411" t="s">
        <v>120</v>
      </c>
      <c r="D5" s="409">
        <f>MIN(D10:D33)</f>
        <v>0</v>
      </c>
      <c r="E5" s="409">
        <f>MIN(E10:E33)</f>
        <v>0</v>
      </c>
      <c r="F5" s="409">
        <f t="shared" ref="F5:AK5" si="9">MIN(F10:F33)</f>
        <v>0</v>
      </c>
      <c r="G5" s="409">
        <f>MIN(G10:G33)</f>
        <v>0</v>
      </c>
      <c r="H5" s="409">
        <f t="shared" si="9"/>
        <v>0</v>
      </c>
      <c r="I5" s="409">
        <f t="shared" si="9"/>
        <v>0</v>
      </c>
      <c r="J5" s="409">
        <f t="shared" si="9"/>
        <v>0</v>
      </c>
      <c r="K5" s="409">
        <f t="shared" si="9"/>
        <v>0</v>
      </c>
      <c r="L5" s="409">
        <f t="shared" si="9"/>
        <v>0</v>
      </c>
      <c r="M5" s="409">
        <f t="shared" si="9"/>
        <v>0</v>
      </c>
      <c r="N5" s="409">
        <f t="shared" si="9"/>
        <v>0</v>
      </c>
      <c r="O5" s="409">
        <f t="shared" si="9"/>
        <v>0</v>
      </c>
      <c r="P5" s="409">
        <f t="shared" si="9"/>
        <v>0</v>
      </c>
      <c r="Q5" s="409">
        <f t="shared" si="9"/>
        <v>0</v>
      </c>
      <c r="R5" s="409">
        <f t="shared" si="9"/>
        <v>0</v>
      </c>
      <c r="S5" s="409">
        <f t="shared" si="9"/>
        <v>0</v>
      </c>
      <c r="T5" s="409">
        <f t="shared" si="9"/>
        <v>0</v>
      </c>
      <c r="U5" s="409">
        <f t="shared" si="9"/>
        <v>0</v>
      </c>
      <c r="V5" s="409">
        <f t="shared" si="9"/>
        <v>0</v>
      </c>
      <c r="W5" s="409">
        <f t="shared" si="9"/>
        <v>0</v>
      </c>
      <c r="X5" s="409">
        <f t="shared" si="9"/>
        <v>0</v>
      </c>
      <c r="Y5" s="409">
        <f t="shared" si="9"/>
        <v>0</v>
      </c>
      <c r="Z5" s="409">
        <f t="shared" si="9"/>
        <v>0</v>
      </c>
      <c r="AA5" s="409">
        <f t="shared" si="9"/>
        <v>0</v>
      </c>
      <c r="AB5" s="409">
        <f t="shared" si="9"/>
        <v>0</v>
      </c>
      <c r="AC5" s="409">
        <f t="shared" si="9"/>
        <v>0</v>
      </c>
      <c r="AD5" s="409">
        <f t="shared" si="9"/>
        <v>0</v>
      </c>
      <c r="AE5" s="409">
        <f t="shared" si="9"/>
        <v>0</v>
      </c>
      <c r="AF5" s="409">
        <f t="shared" si="9"/>
        <v>0</v>
      </c>
      <c r="AG5" s="409">
        <f t="shared" si="9"/>
        <v>0</v>
      </c>
      <c r="AH5" s="409">
        <f t="shared" si="9"/>
        <v>0</v>
      </c>
      <c r="AI5" s="409">
        <f t="shared" si="9"/>
        <v>0</v>
      </c>
      <c r="AJ5" s="409">
        <f t="shared" si="9"/>
        <v>59</v>
      </c>
      <c r="AK5" s="409">
        <f t="shared" si="9"/>
        <v>0</v>
      </c>
      <c r="AL5" s="409">
        <f t="shared" ref="AL5:AT5" si="10">MIN(AL10:AL33)</f>
        <v>0</v>
      </c>
      <c r="AM5" s="410"/>
      <c r="AN5" s="409">
        <f t="shared" si="10"/>
        <v>0</v>
      </c>
      <c r="AO5" s="409">
        <f t="shared" si="10"/>
        <v>0</v>
      </c>
      <c r="AP5" s="409">
        <f t="shared" si="10"/>
        <v>0</v>
      </c>
      <c r="AQ5" s="409">
        <f t="shared" si="10"/>
        <v>0</v>
      </c>
      <c r="AR5" s="409">
        <f t="shared" si="10"/>
        <v>0</v>
      </c>
      <c r="AS5" s="409">
        <f t="shared" si="10"/>
        <v>0</v>
      </c>
      <c r="AT5" s="409">
        <f t="shared" si="10"/>
        <v>0</v>
      </c>
      <c r="AX5" s="94"/>
      <c r="AY5" s="94"/>
      <c r="AZ5" s="94"/>
      <c r="BA5" s="94"/>
      <c r="BB5" s="94"/>
      <c r="BC5" s="94"/>
      <c r="BD5" s="409">
        <f t="shared" ref="BD5:BS5" si="11">MIN(BD10:BD33)</f>
        <v>0</v>
      </c>
      <c r="BE5" s="409">
        <f>MIN(BE10:BE33)</f>
        <v>0</v>
      </c>
      <c r="BF5" s="409">
        <f>MIN(BF10:BF33)</f>
        <v>0</v>
      </c>
      <c r="BG5" s="409">
        <f>MIN(BG10:BG33)</f>
        <v>0</v>
      </c>
      <c r="BH5" s="409">
        <f t="shared" si="11"/>
        <v>0</v>
      </c>
      <c r="BI5" s="409">
        <f t="shared" si="11"/>
        <v>0</v>
      </c>
      <c r="BJ5" s="409">
        <f t="shared" si="11"/>
        <v>0</v>
      </c>
      <c r="BK5" s="409">
        <f t="shared" si="11"/>
        <v>0</v>
      </c>
      <c r="BL5" s="409">
        <f t="shared" si="11"/>
        <v>0</v>
      </c>
      <c r="BM5" s="409">
        <f t="shared" si="11"/>
        <v>0</v>
      </c>
      <c r="BN5" s="409">
        <f t="shared" si="11"/>
        <v>0</v>
      </c>
      <c r="BO5" s="409">
        <f t="shared" si="11"/>
        <v>0</v>
      </c>
      <c r="BP5" s="409">
        <f t="shared" si="11"/>
        <v>0</v>
      </c>
      <c r="BQ5" s="409">
        <f t="shared" si="11"/>
        <v>0</v>
      </c>
      <c r="BR5" s="409">
        <f t="shared" si="11"/>
        <v>0</v>
      </c>
      <c r="BS5" s="409">
        <f t="shared" si="11"/>
        <v>0</v>
      </c>
      <c r="BT5" s="409"/>
      <c r="BU5" s="93"/>
      <c r="BV5" s="93"/>
      <c r="BW5" s="93"/>
      <c r="BX5" s="93"/>
      <c r="BY5" s="93"/>
      <c r="BZ5" s="93"/>
      <c r="CA5" s="93"/>
      <c r="CB5" s="93"/>
      <c r="CC5" s="93"/>
      <c r="CD5" s="93"/>
      <c r="CE5" s="93"/>
      <c r="CF5" s="93"/>
    </row>
    <row r="6" spans="1:86" s="10" customFormat="1">
      <c r="B6" s="1"/>
      <c r="C6" s="411" t="s">
        <v>121</v>
      </c>
      <c r="D6" s="409">
        <f>MAX(D10:D33)</f>
        <v>0</v>
      </c>
      <c r="E6" s="409">
        <f>MAX(E10:E33)</f>
        <v>0</v>
      </c>
      <c r="F6" s="409">
        <f t="shared" ref="F6:AK6" si="12">MAX(F10:F33)</f>
        <v>0</v>
      </c>
      <c r="G6" s="409">
        <f>MAX(G10:G33)</f>
        <v>0</v>
      </c>
      <c r="H6" s="409">
        <f t="shared" si="12"/>
        <v>0</v>
      </c>
      <c r="I6" s="409">
        <f t="shared" si="12"/>
        <v>0</v>
      </c>
      <c r="J6" s="409">
        <f t="shared" si="12"/>
        <v>0</v>
      </c>
      <c r="K6" s="409">
        <f t="shared" si="12"/>
        <v>0</v>
      </c>
      <c r="L6" s="409">
        <f t="shared" si="12"/>
        <v>0</v>
      </c>
      <c r="M6" s="409">
        <f t="shared" si="12"/>
        <v>0</v>
      </c>
      <c r="N6" s="409">
        <f t="shared" si="12"/>
        <v>0</v>
      </c>
      <c r="O6" s="409">
        <f t="shared" si="12"/>
        <v>0</v>
      </c>
      <c r="P6" s="409">
        <f t="shared" si="12"/>
        <v>0</v>
      </c>
      <c r="Q6" s="409">
        <f t="shared" si="12"/>
        <v>0</v>
      </c>
      <c r="R6" s="409">
        <f t="shared" si="12"/>
        <v>0</v>
      </c>
      <c r="S6" s="409">
        <f t="shared" si="12"/>
        <v>0</v>
      </c>
      <c r="T6" s="409">
        <f t="shared" si="12"/>
        <v>0</v>
      </c>
      <c r="U6" s="409">
        <f t="shared" si="12"/>
        <v>0</v>
      </c>
      <c r="V6" s="409">
        <f t="shared" si="12"/>
        <v>0</v>
      </c>
      <c r="W6" s="409">
        <f t="shared" si="12"/>
        <v>0</v>
      </c>
      <c r="X6" s="409">
        <f t="shared" si="12"/>
        <v>0</v>
      </c>
      <c r="Y6" s="409">
        <f t="shared" si="12"/>
        <v>0</v>
      </c>
      <c r="Z6" s="409">
        <f t="shared" si="12"/>
        <v>0</v>
      </c>
      <c r="AA6" s="409">
        <f t="shared" si="12"/>
        <v>0</v>
      </c>
      <c r="AB6" s="409">
        <f t="shared" si="12"/>
        <v>0</v>
      </c>
      <c r="AC6" s="409">
        <f t="shared" si="12"/>
        <v>0</v>
      </c>
      <c r="AD6" s="409">
        <f t="shared" si="12"/>
        <v>0</v>
      </c>
      <c r="AE6" s="409">
        <f t="shared" si="12"/>
        <v>0</v>
      </c>
      <c r="AF6" s="409">
        <f t="shared" si="12"/>
        <v>0</v>
      </c>
      <c r="AG6" s="409">
        <f t="shared" si="12"/>
        <v>0</v>
      </c>
      <c r="AH6" s="409">
        <f t="shared" si="12"/>
        <v>0</v>
      </c>
      <c r="AI6" s="409">
        <f t="shared" si="12"/>
        <v>0</v>
      </c>
      <c r="AJ6" s="409">
        <f t="shared" si="12"/>
        <v>59</v>
      </c>
      <c r="AK6" s="409">
        <f t="shared" si="12"/>
        <v>0</v>
      </c>
      <c r="AL6" s="409">
        <f t="shared" ref="AL6:AT6" si="13">MAX(AL10:AL33)</f>
        <v>0</v>
      </c>
      <c r="AM6" s="410"/>
      <c r="AN6" s="409">
        <f t="shared" si="13"/>
        <v>0</v>
      </c>
      <c r="AO6" s="409">
        <f t="shared" si="13"/>
        <v>0</v>
      </c>
      <c r="AP6" s="409">
        <f t="shared" si="13"/>
        <v>0</v>
      </c>
      <c r="AQ6" s="409">
        <f t="shared" si="13"/>
        <v>0</v>
      </c>
      <c r="AR6" s="409">
        <f t="shared" si="13"/>
        <v>0</v>
      </c>
      <c r="AS6" s="409">
        <f t="shared" si="13"/>
        <v>0</v>
      </c>
      <c r="AT6" s="409">
        <f t="shared" si="13"/>
        <v>0</v>
      </c>
      <c r="AX6" s="94"/>
      <c r="AY6" s="94"/>
      <c r="AZ6" s="94"/>
      <c r="BA6" s="94"/>
      <c r="BB6" s="94"/>
      <c r="BC6" s="94"/>
      <c r="BD6" s="409">
        <f t="shared" ref="BD6:BS6" si="14">MAX(BD10:BD33)</f>
        <v>0</v>
      </c>
      <c r="BE6" s="409">
        <f>MAX(BE10:BE33)</f>
        <v>0</v>
      </c>
      <c r="BF6" s="409">
        <f>MAX(BF10:BF33)</f>
        <v>0</v>
      </c>
      <c r="BG6" s="409">
        <f>MAX(BG10:BG33)</f>
        <v>0</v>
      </c>
      <c r="BH6" s="409">
        <f t="shared" si="14"/>
        <v>0</v>
      </c>
      <c r="BI6" s="409">
        <f t="shared" si="14"/>
        <v>0</v>
      </c>
      <c r="BJ6" s="409">
        <f t="shared" si="14"/>
        <v>0</v>
      </c>
      <c r="BK6" s="409">
        <f t="shared" si="14"/>
        <v>0</v>
      </c>
      <c r="BL6" s="409">
        <f t="shared" si="14"/>
        <v>0</v>
      </c>
      <c r="BM6" s="409">
        <f t="shared" si="14"/>
        <v>0</v>
      </c>
      <c r="BN6" s="409">
        <f t="shared" si="14"/>
        <v>0</v>
      </c>
      <c r="BO6" s="409">
        <f t="shared" si="14"/>
        <v>0</v>
      </c>
      <c r="BP6" s="409">
        <f t="shared" si="14"/>
        <v>0</v>
      </c>
      <c r="BQ6" s="409">
        <f t="shared" si="14"/>
        <v>0</v>
      </c>
      <c r="BR6" s="409">
        <f t="shared" si="14"/>
        <v>0</v>
      </c>
      <c r="BS6" s="409">
        <f t="shared" si="14"/>
        <v>0</v>
      </c>
      <c r="BT6" s="409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</row>
    <row r="7" spans="1:86" s="10" customFormat="1" ht="12.75" customHeight="1" thickBot="1">
      <c r="B7" s="1"/>
      <c r="C7" s="1"/>
      <c r="D7" s="10" t="s">
        <v>36</v>
      </c>
      <c r="E7" s="94"/>
      <c r="G7" s="23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AJ7" s="29"/>
      <c r="AK7" s="29"/>
      <c r="AM7" s="9"/>
      <c r="AR7" s="202"/>
      <c r="AV7" s="10" t="s">
        <v>78</v>
      </c>
      <c r="AX7" s="94"/>
      <c r="AY7" s="94"/>
      <c r="AZ7" s="94"/>
      <c r="BA7" s="94"/>
      <c r="BB7" s="94"/>
      <c r="BC7" s="94"/>
      <c r="BD7" s="89"/>
      <c r="BE7" s="89"/>
      <c r="BF7" s="89"/>
      <c r="BG7" s="89"/>
      <c r="BH7" s="89"/>
      <c r="BI7" s="89"/>
      <c r="BJ7" s="89"/>
      <c r="BK7" s="89"/>
      <c r="BL7" s="89"/>
      <c r="BM7" s="90"/>
      <c r="BN7" s="89"/>
      <c r="BO7" s="90"/>
      <c r="BP7" s="91"/>
      <c r="BQ7" s="92"/>
      <c r="BR7" s="92"/>
      <c r="BS7" s="91"/>
      <c r="BT7" s="91"/>
      <c r="BU7" s="93"/>
    </row>
    <row r="8" spans="1:86" s="10" customFormat="1" ht="26.25" customHeight="1" thickTop="1" thickBot="1">
      <c r="B8" s="1"/>
      <c r="C8" s="1"/>
      <c r="E8" s="94"/>
      <c r="F8" s="230"/>
      <c r="G8" s="232"/>
      <c r="H8" s="231" t="s">
        <v>29</v>
      </c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3"/>
      <c r="AJ8" s="29"/>
      <c r="AK8" s="29"/>
      <c r="AL8" s="29"/>
      <c r="AM8" s="43"/>
      <c r="AN8" s="259" t="s">
        <v>25</v>
      </c>
      <c r="AO8" s="260" t="s">
        <v>24</v>
      </c>
      <c r="AP8" s="204"/>
      <c r="AQ8" s="440" t="s">
        <v>82</v>
      </c>
      <c r="AR8" s="441"/>
      <c r="AS8" s="441"/>
      <c r="AT8" s="442"/>
      <c r="AX8" s="100" t="s">
        <v>45</v>
      </c>
      <c r="AY8" s="95" t="s">
        <v>46</v>
      </c>
      <c r="AZ8" s="146" t="s">
        <v>47</v>
      </c>
      <c r="BA8" s="96" t="s">
        <v>48</v>
      </c>
      <c r="BB8" s="97" t="s">
        <v>135</v>
      </c>
      <c r="BC8" s="405" t="s">
        <v>134</v>
      </c>
      <c r="BD8" s="97" t="s">
        <v>136</v>
      </c>
      <c r="BE8" s="97" t="s">
        <v>137</v>
      </c>
      <c r="BF8" s="97" t="s">
        <v>138</v>
      </c>
      <c r="BG8" s="97" t="s">
        <v>139</v>
      </c>
      <c r="BH8" s="95" t="s">
        <v>140</v>
      </c>
      <c r="BI8" s="95" t="s">
        <v>49</v>
      </c>
      <c r="BJ8" s="95" t="s">
        <v>50</v>
      </c>
      <c r="BK8" s="95" t="s">
        <v>141</v>
      </c>
      <c r="BL8" s="95" t="s">
        <v>51</v>
      </c>
      <c r="BM8" s="95" t="s">
        <v>52</v>
      </c>
      <c r="BN8" s="95" t="s">
        <v>53</v>
      </c>
      <c r="BO8" s="407" t="s">
        <v>54</v>
      </c>
      <c r="BP8" s="95" t="s">
        <v>55</v>
      </c>
      <c r="BQ8" s="95" t="s">
        <v>56</v>
      </c>
      <c r="BR8" s="95" t="s">
        <v>57</v>
      </c>
      <c r="BS8" s="95" t="s">
        <v>58</v>
      </c>
      <c r="BT8" s="95" t="s">
        <v>142</v>
      </c>
      <c r="BU8" s="93"/>
    </row>
    <row r="9" spans="1:86" s="29" customFormat="1" ht="39" thickBot="1">
      <c r="B9" s="26" t="s">
        <v>0</v>
      </c>
      <c r="C9" s="26" t="s">
        <v>1</v>
      </c>
      <c r="D9" s="154" t="s">
        <v>32</v>
      </c>
      <c r="E9" s="112" t="s">
        <v>28</v>
      </c>
      <c r="F9" s="113" t="s">
        <v>80</v>
      </c>
      <c r="G9" s="39" t="s">
        <v>132</v>
      </c>
      <c r="H9" s="236" t="s">
        <v>12</v>
      </c>
      <c r="I9" s="39" t="s">
        <v>13</v>
      </c>
      <c r="J9" s="39" t="s">
        <v>14</v>
      </c>
      <c r="K9" s="112" t="s">
        <v>8</v>
      </c>
      <c r="L9" s="112" t="s">
        <v>9</v>
      </c>
      <c r="M9" s="112" t="s">
        <v>15</v>
      </c>
      <c r="N9" s="39" t="s">
        <v>16</v>
      </c>
      <c r="O9" s="39" t="s">
        <v>27</v>
      </c>
      <c r="P9" s="39" t="s">
        <v>72</v>
      </c>
      <c r="Q9" s="39" t="s">
        <v>73</v>
      </c>
      <c r="R9" s="39" t="s">
        <v>74</v>
      </c>
      <c r="S9" s="39" t="s">
        <v>75</v>
      </c>
      <c r="T9" s="39" t="s">
        <v>76</v>
      </c>
      <c r="U9" s="39" t="s">
        <v>77</v>
      </c>
      <c r="V9" s="39" t="s">
        <v>79</v>
      </c>
      <c r="W9" s="53" t="s">
        <v>112</v>
      </c>
      <c r="X9" s="50" t="s">
        <v>39</v>
      </c>
      <c r="Y9" s="51" t="s">
        <v>40</v>
      </c>
      <c r="Z9" s="51" t="s">
        <v>41</v>
      </c>
      <c r="AA9" s="54" t="s">
        <v>42</v>
      </c>
      <c r="AB9" s="51" t="s">
        <v>2</v>
      </c>
      <c r="AC9" s="51" t="s">
        <v>3</v>
      </c>
      <c r="AD9" s="323" t="s">
        <v>4</v>
      </c>
      <c r="AE9" s="51" t="s">
        <v>5</v>
      </c>
      <c r="AF9" s="51" t="s">
        <v>91</v>
      </c>
      <c r="AG9" s="51" t="s">
        <v>22</v>
      </c>
      <c r="AH9" s="51" t="s">
        <v>23</v>
      </c>
      <c r="AI9" s="51" t="s">
        <v>30</v>
      </c>
      <c r="AJ9" s="303" t="s">
        <v>43</v>
      </c>
      <c r="AK9" s="53" t="s">
        <v>125</v>
      </c>
      <c r="AL9" s="108" t="s">
        <v>85</v>
      </c>
      <c r="AM9" s="33"/>
      <c r="AN9" s="38" t="s">
        <v>26</v>
      </c>
      <c r="AO9" s="39" t="s">
        <v>102</v>
      </c>
      <c r="AP9" s="40" t="s">
        <v>103</v>
      </c>
      <c r="AQ9" s="42" t="s">
        <v>60</v>
      </c>
      <c r="AR9" s="279" t="s">
        <v>83</v>
      </c>
      <c r="AS9" s="39" t="s">
        <v>89</v>
      </c>
      <c r="AT9" s="40" t="s">
        <v>90</v>
      </c>
      <c r="AV9" s="85" t="s">
        <v>113</v>
      </c>
      <c r="AX9" s="272"/>
      <c r="AY9" s="114"/>
      <c r="AZ9" s="147"/>
      <c r="BA9" s="406" t="s">
        <v>129</v>
      </c>
      <c r="BB9" s="148" t="s">
        <v>129</v>
      </c>
      <c r="BC9" s="148" t="s">
        <v>129</v>
      </c>
      <c r="BD9" s="148" t="s">
        <v>129</v>
      </c>
      <c r="BE9" s="114" t="s">
        <v>129</v>
      </c>
      <c r="BF9" s="114" t="s">
        <v>129</v>
      </c>
      <c r="BG9" s="114" t="s">
        <v>129</v>
      </c>
      <c r="BH9" s="114" t="s">
        <v>129</v>
      </c>
      <c r="BI9" s="114" t="s">
        <v>129</v>
      </c>
      <c r="BJ9" s="114" t="s">
        <v>129</v>
      </c>
      <c r="BK9" s="114" t="s">
        <v>129</v>
      </c>
      <c r="BL9" s="114" t="s">
        <v>129</v>
      </c>
      <c r="BM9" s="114" t="s">
        <v>129</v>
      </c>
      <c r="BN9" s="114" t="s">
        <v>129</v>
      </c>
      <c r="BO9" s="114" t="s">
        <v>129</v>
      </c>
      <c r="BP9" s="114" t="s">
        <v>129</v>
      </c>
      <c r="BQ9" s="114" t="s">
        <v>129</v>
      </c>
      <c r="BR9" s="114" t="s">
        <v>129</v>
      </c>
      <c r="BS9" s="114" t="s">
        <v>129</v>
      </c>
      <c r="BT9" s="114" t="s">
        <v>129</v>
      </c>
    </row>
    <row r="10" spans="1:86" s="10" customFormat="1">
      <c r="B10" s="3">
        <f>B3</f>
        <v>43743</v>
      </c>
      <c r="C10" s="191">
        <v>0</v>
      </c>
      <c r="D10" s="254"/>
      <c r="E10" s="18"/>
      <c r="F10" s="20"/>
      <c r="G10" s="242"/>
      <c r="H10" s="19"/>
      <c r="I10" s="19"/>
      <c r="J10" s="19"/>
      <c r="K10" s="19"/>
      <c r="L10" s="19"/>
      <c r="M10" s="153"/>
      <c r="N10" s="19"/>
      <c r="O10" s="19"/>
      <c r="P10" s="19"/>
      <c r="Q10" s="19"/>
      <c r="R10" s="19"/>
      <c r="S10" s="19"/>
      <c r="T10" s="19"/>
      <c r="U10" s="19"/>
      <c r="V10" s="13"/>
      <c r="W10" s="134" t="str">
        <f t="shared" ref="W10:W20" si="15">IF((H10+I10+J10+K10+L10+M10+N10+O10+P10+Q10+R10+S10+T10+U10+V10+G10)&lt;&gt;0,(G10+H10+I10+J10+K10+L10+M10+N10+O10+P10+Q10+R10+S10+T10+U10+V10),"")</f>
        <v/>
      </c>
      <c r="X10" s="326" t="str">
        <f t="shared" ref="X10:X20" si="16">IF((H10+I10+J10+K10)&lt;&gt;0,4.07*(K10-D10-0.7*M10)-(7.6*(H10-0.06)+6.72*I10+1.43*J10),"")</f>
        <v/>
      </c>
      <c r="Y10" s="83" t="str">
        <f t="shared" ref="Y10:Y20" si="17">IF((H10+I10+J10+K10)&lt;&gt;0,8.6*H10+5.07*I10+1.08*J10-3.07*(K10-D10-0.7*M10),"")</f>
        <v/>
      </c>
      <c r="Z10" s="83" t="str">
        <f t="shared" ref="Z10:Z20" si="18">IF((H10+I10+J10+K10)&lt;&gt;0,2.65*I10-1.69*J10,"")</f>
        <v/>
      </c>
      <c r="AA10" s="83" t="str">
        <f t="shared" ref="AA10:AA20" si="19">IF((H10+I10+J10+K10)&lt;&gt;0,3.04*J10,"")</f>
        <v/>
      </c>
      <c r="AB10" s="195" t="str">
        <f t="shared" ref="AB10:AB20" si="20">IF((I10+J10)&lt;&gt;0,H10/(I10+J10),"")</f>
        <v/>
      </c>
      <c r="AC10" s="195" t="str">
        <f t="shared" ref="AC10:AC20" si="21">IF(J10&lt;&gt;0,I10/J10,"")</f>
        <v/>
      </c>
      <c r="AD10" s="83" t="str">
        <f t="shared" ref="AD10:AD20" si="22">IF((H10+I10+J10)&lt;&gt;0,K10/(H10+I10+J10),"")</f>
        <v/>
      </c>
      <c r="AE10" s="83" t="str">
        <f t="shared" ref="AE10:AE20" si="23">IF((2.8*H10+1.18*I10+0.65*J10)&lt;&gt;0,100*(K10)/(2.8*H10+1.18*I10+0.65*J10),"")</f>
        <v/>
      </c>
      <c r="AF10" s="83"/>
      <c r="AG10" s="83" t="str">
        <f t="shared" ref="AG10:AG20" si="24">IF((H10+I10+J10+K10-(0.7*M10+(2/3)*G10+D10))&lt;&gt;0,IF((2.8*H10+1.65*I10+0.35*J10)&lt;&gt;0,100*(2.8*H10+1.65*I10+0.35*J10-(K10-0.7*M10-(2/3)*G10-D10))/(H10+I10+J10+K10-(0.7*M10+(2/3)*G10+D10)),""),"")</f>
        <v/>
      </c>
      <c r="AH10" s="83" t="str">
        <f t="shared" ref="AH10:AH24" si="25">IF((3*I10+2.25*J10+L10+O10+N10)&lt;&gt;0,3*I10+2.25*J10+L10+O10+N10,"")</f>
        <v/>
      </c>
      <c r="AI10" s="325" t="str">
        <f t="shared" ref="AI10:AI33" si="26">IF(((N10*0.85)+(O10*1.29))&lt;&gt;0,(M10)/((N10*0.85)+(O10*1.29)),"")</f>
        <v/>
      </c>
      <c r="AJ10" s="306">
        <v>59</v>
      </c>
      <c r="AK10" s="324" t="str">
        <f t="shared" ref="AK10:AK20" si="27">IF(H10="","",(X10-AJ10)^2)</f>
        <v/>
      </c>
      <c r="AL10" s="164"/>
      <c r="AM10" s="33"/>
      <c r="AN10" s="284"/>
      <c r="AO10" s="284"/>
      <c r="AP10" s="284"/>
      <c r="AQ10" s="293"/>
      <c r="AR10" s="284"/>
      <c r="AS10" s="296"/>
      <c r="AT10" s="296"/>
      <c r="AU10" s="29"/>
      <c r="AV10" s="86"/>
      <c r="AW10" s="94"/>
      <c r="AX10" s="155"/>
      <c r="AY10" s="158"/>
      <c r="AZ10" s="276"/>
      <c r="BA10" s="199"/>
      <c r="BB10" s="401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93"/>
      <c r="CB10" s="10" t="s">
        <v>152</v>
      </c>
      <c r="CE10" s="10" t="s">
        <v>152</v>
      </c>
      <c r="CG10" s="10" t="s">
        <v>152</v>
      </c>
      <c r="CH10" s="10" t="s">
        <v>152</v>
      </c>
    </row>
    <row r="11" spans="1:86" s="10" customFormat="1">
      <c r="B11" s="3">
        <f t="shared" ref="B11:B33" si="28">B10</f>
        <v>43743</v>
      </c>
      <c r="C11" s="191">
        <v>4.1666666666666664E-2</v>
      </c>
      <c r="D11" s="254"/>
      <c r="E11" s="18"/>
      <c r="F11" s="20"/>
      <c r="G11" s="243"/>
      <c r="H11" s="36"/>
      <c r="I11" s="19"/>
      <c r="J11" s="19"/>
      <c r="K11" s="19"/>
      <c r="L11" s="19"/>
      <c r="M11" s="235"/>
      <c r="N11" s="19"/>
      <c r="O11" s="19"/>
      <c r="P11" s="19"/>
      <c r="Q11" s="19"/>
      <c r="R11" s="19"/>
      <c r="S11" s="19"/>
      <c r="T11" s="19"/>
      <c r="U11" s="19"/>
      <c r="V11" s="19"/>
      <c r="W11" s="135" t="str">
        <f t="shared" si="15"/>
        <v/>
      </c>
      <c r="X11" s="246" t="str">
        <f t="shared" si="16"/>
        <v/>
      </c>
      <c r="Y11" s="60" t="str">
        <f t="shared" si="17"/>
        <v/>
      </c>
      <c r="Z11" s="60" t="str">
        <f t="shared" si="18"/>
        <v/>
      </c>
      <c r="AA11" s="60" t="str">
        <f t="shared" si="19"/>
        <v/>
      </c>
      <c r="AB11" s="136" t="str">
        <f t="shared" si="20"/>
        <v/>
      </c>
      <c r="AC11" s="136" t="str">
        <f t="shared" si="21"/>
        <v/>
      </c>
      <c r="AD11" s="60" t="str">
        <f t="shared" si="22"/>
        <v/>
      </c>
      <c r="AE11" s="60" t="str">
        <f t="shared" si="23"/>
        <v/>
      </c>
      <c r="AF11" s="60"/>
      <c r="AG11" s="60" t="str">
        <f t="shared" si="24"/>
        <v/>
      </c>
      <c r="AH11" s="60" t="str">
        <f t="shared" si="25"/>
        <v/>
      </c>
      <c r="AI11" s="190" t="str">
        <f t="shared" si="26"/>
        <v/>
      </c>
      <c r="AJ11" s="304">
        <v>59</v>
      </c>
      <c r="AK11" s="192" t="str">
        <f t="shared" si="27"/>
        <v/>
      </c>
      <c r="AL11" s="164"/>
      <c r="AM11" s="33"/>
      <c r="AN11" s="284"/>
      <c r="AO11" s="284"/>
      <c r="AP11" s="361"/>
      <c r="AQ11" s="293"/>
      <c r="AR11" s="293"/>
      <c r="AS11" s="296"/>
      <c r="AT11" s="296"/>
      <c r="AU11" s="29"/>
      <c r="AV11" s="87"/>
      <c r="AW11" s="94"/>
      <c r="AX11" s="141"/>
      <c r="AY11" s="142"/>
      <c r="AZ11" s="205"/>
      <c r="BA11" s="48"/>
      <c r="BB11" s="402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93"/>
      <c r="CB11" s="10" t="s">
        <v>152</v>
      </c>
      <c r="CE11" s="10" t="s">
        <v>152</v>
      </c>
      <c r="CG11" s="10" t="s">
        <v>152</v>
      </c>
      <c r="CH11" s="10" t="s">
        <v>152</v>
      </c>
    </row>
    <row r="12" spans="1:86" s="10" customFormat="1">
      <c r="B12" s="3">
        <f t="shared" si="28"/>
        <v>43743</v>
      </c>
      <c r="C12" s="4">
        <v>8.3333333333333329E-2</v>
      </c>
      <c r="D12" s="254"/>
      <c r="E12" s="18"/>
      <c r="F12" s="20"/>
      <c r="G12" s="244"/>
      <c r="H12" s="36"/>
      <c r="I12" s="19"/>
      <c r="J12" s="70"/>
      <c r="K12" s="19"/>
      <c r="L12" s="19"/>
      <c r="M12" s="235"/>
      <c r="N12" s="19"/>
      <c r="O12" s="19"/>
      <c r="P12" s="19"/>
      <c r="Q12" s="19"/>
      <c r="R12" s="19"/>
      <c r="S12" s="19"/>
      <c r="T12" s="19"/>
      <c r="U12" s="19"/>
      <c r="V12" s="19"/>
      <c r="W12" s="135" t="str">
        <f t="shared" si="15"/>
        <v/>
      </c>
      <c r="X12" s="246" t="str">
        <f t="shared" si="16"/>
        <v/>
      </c>
      <c r="Y12" s="60" t="str">
        <f t="shared" si="17"/>
        <v/>
      </c>
      <c r="Z12" s="60" t="str">
        <f t="shared" si="18"/>
        <v/>
      </c>
      <c r="AA12" s="60" t="str">
        <f t="shared" si="19"/>
        <v/>
      </c>
      <c r="AB12" s="136" t="str">
        <f t="shared" si="20"/>
        <v/>
      </c>
      <c r="AC12" s="136" t="str">
        <f t="shared" si="21"/>
        <v/>
      </c>
      <c r="AD12" s="60" t="str">
        <f t="shared" si="22"/>
        <v/>
      </c>
      <c r="AE12" s="60" t="str">
        <f t="shared" si="23"/>
        <v/>
      </c>
      <c r="AF12" s="60"/>
      <c r="AG12" s="60" t="str">
        <f t="shared" si="24"/>
        <v/>
      </c>
      <c r="AH12" s="60" t="str">
        <f t="shared" si="25"/>
        <v/>
      </c>
      <c r="AI12" s="190" t="str">
        <f t="shared" si="26"/>
        <v/>
      </c>
      <c r="AJ12" s="306">
        <v>59</v>
      </c>
      <c r="AK12" s="192" t="str">
        <f t="shared" si="27"/>
        <v/>
      </c>
      <c r="AL12" s="164"/>
      <c r="AM12" s="33"/>
      <c r="AN12" s="284"/>
      <c r="AO12" s="284"/>
      <c r="AP12" s="284"/>
      <c r="AQ12" s="293"/>
      <c r="AR12" s="284"/>
      <c r="AS12" s="296"/>
      <c r="AT12" s="296"/>
      <c r="AU12" s="29"/>
      <c r="AV12" s="87"/>
      <c r="AW12" s="94"/>
      <c r="AX12" s="141"/>
      <c r="AY12" s="142"/>
      <c r="AZ12" s="205"/>
      <c r="BA12" s="48"/>
      <c r="BB12" s="402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93"/>
      <c r="CB12" s="10" t="s">
        <v>152</v>
      </c>
      <c r="CE12" s="10" t="s">
        <v>152</v>
      </c>
      <c r="CG12" s="10" t="s">
        <v>152</v>
      </c>
      <c r="CH12" s="10" t="s">
        <v>152</v>
      </c>
    </row>
    <row r="13" spans="1:86" s="10" customFormat="1">
      <c r="B13" s="3">
        <f t="shared" si="28"/>
        <v>43743</v>
      </c>
      <c r="C13" s="4">
        <v>0.125</v>
      </c>
      <c r="D13" s="182"/>
      <c r="E13" s="18"/>
      <c r="F13" s="20"/>
      <c r="G13" s="243"/>
      <c r="H13" s="19"/>
      <c r="I13" s="19"/>
      <c r="J13" s="19"/>
      <c r="K13" s="19"/>
      <c r="L13" s="19"/>
      <c r="M13" s="153"/>
      <c r="N13" s="19"/>
      <c r="O13" s="19"/>
      <c r="P13" s="19"/>
      <c r="Q13" s="19"/>
      <c r="R13" s="19"/>
      <c r="S13" s="19"/>
      <c r="T13" s="19"/>
      <c r="U13" s="19"/>
      <c r="V13" s="19"/>
      <c r="W13" s="135" t="str">
        <f t="shared" si="15"/>
        <v/>
      </c>
      <c r="X13" s="246" t="str">
        <f t="shared" si="16"/>
        <v/>
      </c>
      <c r="Y13" s="60" t="str">
        <f t="shared" si="17"/>
        <v/>
      </c>
      <c r="Z13" s="60" t="str">
        <f t="shared" si="18"/>
        <v/>
      </c>
      <c r="AA13" s="60" t="str">
        <f t="shared" si="19"/>
        <v/>
      </c>
      <c r="AB13" s="136" t="str">
        <f t="shared" si="20"/>
        <v/>
      </c>
      <c r="AC13" s="136" t="str">
        <f t="shared" si="21"/>
        <v/>
      </c>
      <c r="AD13" s="60" t="str">
        <f t="shared" si="22"/>
        <v/>
      </c>
      <c r="AE13" s="60" t="str">
        <f t="shared" si="23"/>
        <v/>
      </c>
      <c r="AF13" s="60"/>
      <c r="AG13" s="60" t="str">
        <f t="shared" si="24"/>
        <v/>
      </c>
      <c r="AH13" s="60" t="str">
        <f t="shared" si="25"/>
        <v/>
      </c>
      <c r="AI13" s="190" t="str">
        <f t="shared" si="26"/>
        <v/>
      </c>
      <c r="AJ13" s="304">
        <v>59</v>
      </c>
      <c r="AK13" s="192" t="str">
        <f t="shared" si="27"/>
        <v/>
      </c>
      <c r="AL13" s="164"/>
      <c r="AM13" s="33"/>
      <c r="AN13" s="284"/>
      <c r="AO13" s="284"/>
      <c r="AP13" s="284"/>
      <c r="AQ13" s="293"/>
      <c r="AR13" s="293"/>
      <c r="AS13" s="296"/>
      <c r="AT13" s="296"/>
      <c r="AU13" s="94"/>
      <c r="AV13" s="87"/>
      <c r="AW13" s="94"/>
      <c r="AX13" s="141"/>
      <c r="AY13" s="142"/>
      <c r="AZ13" s="205"/>
      <c r="BA13" s="48"/>
      <c r="BB13" s="402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93"/>
      <c r="CB13" s="10" t="s">
        <v>152</v>
      </c>
      <c r="CE13" s="10" t="s">
        <v>152</v>
      </c>
      <c r="CG13" s="10" t="s">
        <v>152</v>
      </c>
      <c r="CH13" s="10" t="s">
        <v>152</v>
      </c>
    </row>
    <row r="14" spans="1:86" s="10" customFormat="1">
      <c r="B14" s="3">
        <f t="shared" si="28"/>
        <v>43743</v>
      </c>
      <c r="C14" s="4">
        <v>0.16666666666666666</v>
      </c>
      <c r="D14" s="309"/>
      <c r="E14" s="307"/>
      <c r="F14" s="308"/>
      <c r="G14" s="243"/>
      <c r="H14" s="19"/>
      <c r="I14" s="19"/>
      <c r="J14" s="19"/>
      <c r="K14" s="19"/>
      <c r="L14" s="19"/>
      <c r="M14" s="153"/>
      <c r="N14" s="19"/>
      <c r="O14" s="19"/>
      <c r="P14" s="19"/>
      <c r="Q14" s="19"/>
      <c r="R14" s="19"/>
      <c r="S14" s="19"/>
      <c r="T14" s="19"/>
      <c r="U14" s="19"/>
      <c r="V14" s="19"/>
      <c r="W14" s="135" t="str">
        <f t="shared" si="15"/>
        <v/>
      </c>
      <c r="X14" s="246" t="str">
        <f t="shared" si="16"/>
        <v/>
      </c>
      <c r="Y14" s="60" t="str">
        <f t="shared" si="17"/>
        <v/>
      </c>
      <c r="Z14" s="60" t="str">
        <f t="shared" si="18"/>
        <v/>
      </c>
      <c r="AA14" s="60" t="str">
        <f t="shared" si="19"/>
        <v/>
      </c>
      <c r="AB14" s="136" t="str">
        <f t="shared" si="20"/>
        <v/>
      </c>
      <c r="AC14" s="136" t="str">
        <f t="shared" si="21"/>
        <v/>
      </c>
      <c r="AD14" s="60" t="str">
        <f t="shared" si="22"/>
        <v/>
      </c>
      <c r="AE14" s="60" t="str">
        <f t="shared" si="23"/>
        <v/>
      </c>
      <c r="AF14" s="60"/>
      <c r="AG14" s="60" t="str">
        <f t="shared" si="24"/>
        <v/>
      </c>
      <c r="AH14" s="60" t="str">
        <f t="shared" si="25"/>
        <v/>
      </c>
      <c r="AI14" s="190" t="str">
        <f t="shared" si="26"/>
        <v/>
      </c>
      <c r="AJ14" s="306">
        <v>59</v>
      </c>
      <c r="AK14" s="192" t="str">
        <f t="shared" si="27"/>
        <v/>
      </c>
      <c r="AL14" s="164"/>
      <c r="AM14" s="33"/>
      <c r="AN14" s="284"/>
      <c r="AO14" s="284"/>
      <c r="AP14" s="284"/>
      <c r="AQ14" s="293"/>
      <c r="AR14" s="284"/>
      <c r="AS14" s="296"/>
      <c r="AT14" s="296"/>
      <c r="AU14" s="94"/>
      <c r="AV14" s="87"/>
      <c r="AW14" s="94"/>
      <c r="AX14" s="141"/>
      <c r="AY14" s="142"/>
      <c r="AZ14" s="205"/>
      <c r="BA14" s="82"/>
      <c r="BB14" s="403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93"/>
      <c r="CB14" s="10" t="s">
        <v>152</v>
      </c>
      <c r="CE14" s="10" t="s">
        <v>152</v>
      </c>
      <c r="CG14" s="10" t="s">
        <v>152</v>
      </c>
      <c r="CH14" s="10" t="s">
        <v>152</v>
      </c>
    </row>
    <row r="15" spans="1:86" s="10" customFormat="1">
      <c r="B15" s="3">
        <f t="shared" si="28"/>
        <v>43743</v>
      </c>
      <c r="C15" s="4">
        <v>0.20833333333333334</v>
      </c>
      <c r="D15" s="254"/>
      <c r="E15" s="18"/>
      <c r="F15" s="20"/>
      <c r="G15" s="243"/>
      <c r="H15" s="36"/>
      <c r="I15" s="19"/>
      <c r="J15" s="19"/>
      <c r="K15" s="19"/>
      <c r="L15" s="19"/>
      <c r="M15" s="235"/>
      <c r="N15" s="19"/>
      <c r="O15" s="19"/>
      <c r="P15" s="19"/>
      <c r="Q15" s="19"/>
      <c r="R15" s="19"/>
      <c r="S15" s="19"/>
      <c r="T15" s="19"/>
      <c r="U15" s="19"/>
      <c r="V15" s="19"/>
      <c r="W15" s="135" t="str">
        <f t="shared" si="15"/>
        <v/>
      </c>
      <c r="X15" s="246" t="str">
        <f t="shared" si="16"/>
        <v/>
      </c>
      <c r="Y15" s="60" t="str">
        <f t="shared" si="17"/>
        <v/>
      </c>
      <c r="Z15" s="60" t="str">
        <f t="shared" si="18"/>
        <v/>
      </c>
      <c r="AA15" s="60" t="str">
        <f t="shared" si="19"/>
        <v/>
      </c>
      <c r="AB15" s="136" t="str">
        <f t="shared" si="20"/>
        <v/>
      </c>
      <c r="AC15" s="136" t="str">
        <f t="shared" si="21"/>
        <v/>
      </c>
      <c r="AD15" s="60" t="str">
        <f t="shared" si="22"/>
        <v/>
      </c>
      <c r="AE15" s="60" t="str">
        <f t="shared" si="23"/>
        <v/>
      </c>
      <c r="AF15" s="60"/>
      <c r="AG15" s="60" t="str">
        <f t="shared" si="24"/>
        <v/>
      </c>
      <c r="AH15" s="60" t="str">
        <f t="shared" si="25"/>
        <v/>
      </c>
      <c r="AI15" s="190" t="str">
        <f t="shared" si="26"/>
        <v/>
      </c>
      <c r="AJ15" s="304">
        <v>59</v>
      </c>
      <c r="AK15" s="192" t="str">
        <f t="shared" si="27"/>
        <v/>
      </c>
      <c r="AL15" s="164"/>
      <c r="AM15" s="33"/>
      <c r="AN15" s="284"/>
      <c r="AO15" s="284"/>
      <c r="AP15" s="284"/>
      <c r="AQ15" s="293"/>
      <c r="AR15" s="293"/>
      <c r="AS15" s="296"/>
      <c r="AT15" s="296"/>
      <c r="AU15" s="94"/>
      <c r="AV15" s="87"/>
      <c r="AW15" s="94"/>
      <c r="AX15" s="141"/>
      <c r="AY15" s="142"/>
      <c r="AZ15" s="205"/>
      <c r="BA15" s="48"/>
      <c r="BB15" s="402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93"/>
      <c r="CB15" s="10" t="s">
        <v>152</v>
      </c>
      <c r="CE15" s="10" t="s">
        <v>152</v>
      </c>
      <c r="CG15" s="10" t="s">
        <v>152</v>
      </c>
      <c r="CH15" s="10" t="s">
        <v>152</v>
      </c>
    </row>
    <row r="16" spans="1:86" s="10" customFormat="1">
      <c r="B16" s="3">
        <f t="shared" si="28"/>
        <v>43743</v>
      </c>
      <c r="C16" s="4">
        <v>0.25</v>
      </c>
      <c r="D16" s="255"/>
      <c r="E16" s="257"/>
      <c r="F16" s="183"/>
      <c r="G16" s="243"/>
      <c r="H16" s="370"/>
      <c r="I16" s="70"/>
      <c r="J16" s="70"/>
      <c r="K16" s="372"/>
      <c r="L16" s="372"/>
      <c r="M16" s="369"/>
      <c r="N16" s="372"/>
      <c r="O16" s="372"/>
      <c r="P16" s="372"/>
      <c r="Q16" s="372"/>
      <c r="R16" s="372"/>
      <c r="S16" s="372"/>
      <c r="T16" s="372"/>
      <c r="U16" s="372"/>
      <c r="V16" s="19"/>
      <c r="W16" s="135" t="str">
        <f t="shared" si="15"/>
        <v/>
      </c>
      <c r="X16" s="246" t="str">
        <f t="shared" si="16"/>
        <v/>
      </c>
      <c r="Y16" s="60" t="str">
        <f t="shared" si="17"/>
        <v/>
      </c>
      <c r="Z16" s="60" t="str">
        <f t="shared" si="18"/>
        <v/>
      </c>
      <c r="AA16" s="60" t="str">
        <f t="shared" si="19"/>
        <v/>
      </c>
      <c r="AB16" s="136" t="str">
        <f t="shared" si="20"/>
        <v/>
      </c>
      <c r="AC16" s="136" t="str">
        <f t="shared" si="21"/>
        <v/>
      </c>
      <c r="AD16" s="60" t="str">
        <f t="shared" si="22"/>
        <v/>
      </c>
      <c r="AE16" s="60" t="str">
        <f t="shared" si="23"/>
        <v/>
      </c>
      <c r="AF16" s="60"/>
      <c r="AG16" s="60" t="str">
        <f t="shared" si="24"/>
        <v/>
      </c>
      <c r="AH16" s="60" t="str">
        <f t="shared" si="25"/>
        <v/>
      </c>
      <c r="AI16" s="190" t="str">
        <f t="shared" si="26"/>
        <v/>
      </c>
      <c r="AJ16" s="306">
        <v>59</v>
      </c>
      <c r="AK16" s="192" t="str">
        <f t="shared" si="27"/>
        <v/>
      </c>
      <c r="AL16" s="164"/>
      <c r="AM16" s="33"/>
      <c r="AN16" s="284"/>
      <c r="AO16" s="284"/>
      <c r="AP16" s="284"/>
      <c r="AQ16" s="293"/>
      <c r="AR16" s="284"/>
      <c r="AS16" s="383"/>
      <c r="AT16" s="383"/>
      <c r="AU16" s="94"/>
      <c r="AV16" s="87"/>
      <c r="AW16" s="94"/>
      <c r="AX16" s="141"/>
      <c r="AY16" s="142"/>
      <c r="AZ16" s="205"/>
      <c r="BA16" s="199"/>
      <c r="BB16" s="401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93"/>
      <c r="CB16" s="10" t="s">
        <v>152</v>
      </c>
      <c r="CE16" s="10" t="s">
        <v>152</v>
      </c>
      <c r="CG16" s="10" t="s">
        <v>152</v>
      </c>
      <c r="CH16" s="10" t="s">
        <v>152</v>
      </c>
    </row>
    <row r="17" spans="2:86" s="10" customFormat="1" ht="14.25" customHeight="1" thickBot="1">
      <c r="B17" s="78">
        <f t="shared" si="28"/>
        <v>43743</v>
      </c>
      <c r="C17" s="213">
        <v>0.29166666666666669</v>
      </c>
      <c r="D17" s="371"/>
      <c r="E17" s="258"/>
      <c r="F17" s="365"/>
      <c r="G17" s="245"/>
      <c r="H17" s="24"/>
      <c r="I17" s="24"/>
      <c r="J17" s="24"/>
      <c r="K17" s="24"/>
      <c r="L17" s="24"/>
      <c r="M17" s="364"/>
      <c r="N17" s="24"/>
      <c r="O17" s="24"/>
      <c r="P17" s="24"/>
      <c r="Q17" s="24"/>
      <c r="R17" s="24"/>
      <c r="S17" s="24"/>
      <c r="T17" s="24"/>
      <c r="U17" s="24"/>
      <c r="V17" s="24"/>
      <c r="W17" s="171" t="str">
        <f t="shared" si="15"/>
        <v/>
      </c>
      <c r="X17" s="281" t="str">
        <f t="shared" si="16"/>
        <v/>
      </c>
      <c r="Y17" s="55" t="str">
        <f t="shared" si="17"/>
        <v/>
      </c>
      <c r="Z17" s="55" t="str">
        <f t="shared" si="18"/>
        <v/>
      </c>
      <c r="AA17" s="55" t="str">
        <f t="shared" si="19"/>
        <v/>
      </c>
      <c r="AB17" s="168" t="str">
        <f t="shared" si="20"/>
        <v/>
      </c>
      <c r="AC17" s="168" t="str">
        <f t="shared" si="21"/>
        <v/>
      </c>
      <c r="AD17" s="55" t="str">
        <f t="shared" si="22"/>
        <v/>
      </c>
      <c r="AE17" s="55" t="str">
        <f t="shared" si="23"/>
        <v/>
      </c>
      <c r="AF17" s="55"/>
      <c r="AG17" s="55" t="str">
        <f t="shared" si="24"/>
        <v/>
      </c>
      <c r="AH17" s="55" t="str">
        <f t="shared" si="25"/>
        <v/>
      </c>
      <c r="AI17" s="282" t="str">
        <f t="shared" si="26"/>
        <v/>
      </c>
      <c r="AJ17" s="360">
        <v>59</v>
      </c>
      <c r="AK17" s="214" t="str">
        <f t="shared" si="27"/>
        <v/>
      </c>
      <c r="AL17" s="249"/>
      <c r="AM17" s="33"/>
      <c r="AN17" s="247"/>
      <c r="AO17" s="88"/>
      <c r="AP17" s="247"/>
      <c r="AQ17" s="88"/>
      <c r="AR17" s="294"/>
      <c r="AS17" s="88"/>
      <c r="AT17" s="298"/>
      <c r="AU17" s="74"/>
      <c r="AV17" s="111"/>
      <c r="AW17" s="94"/>
      <c r="AX17" s="143"/>
      <c r="AY17" s="144"/>
      <c r="AZ17" s="277"/>
      <c r="BA17" s="49"/>
      <c r="BB17" s="40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CB17" s="10" t="s">
        <v>152</v>
      </c>
      <c r="CE17" s="10" t="s">
        <v>152</v>
      </c>
      <c r="CG17" s="10" t="s">
        <v>152</v>
      </c>
      <c r="CH17" s="10" t="s">
        <v>152</v>
      </c>
    </row>
    <row r="18" spans="2:86" s="10" customFormat="1">
      <c r="B18" s="79">
        <f t="shared" si="28"/>
        <v>43743</v>
      </c>
      <c r="C18" s="215">
        <v>0.33333333333333298</v>
      </c>
      <c r="D18" s="368"/>
      <c r="E18" s="367"/>
      <c r="F18" s="366"/>
      <c r="G18" s="242"/>
      <c r="H18" s="69"/>
      <c r="I18" s="69"/>
      <c r="J18" s="69"/>
      <c r="K18" s="69"/>
      <c r="L18" s="69"/>
      <c r="M18" s="310"/>
      <c r="N18" s="69"/>
      <c r="O18" s="69"/>
      <c r="P18" s="69"/>
      <c r="Q18" s="69"/>
      <c r="R18" s="69"/>
      <c r="S18" s="69"/>
      <c r="T18" s="69"/>
      <c r="U18" s="69"/>
      <c r="V18" s="69"/>
      <c r="W18" s="133" t="str">
        <f t="shared" si="15"/>
        <v/>
      </c>
      <c r="X18" s="342" t="str">
        <f t="shared" si="16"/>
        <v/>
      </c>
      <c r="Y18" s="59" t="str">
        <f t="shared" si="17"/>
        <v/>
      </c>
      <c r="Z18" s="59" t="str">
        <f t="shared" si="18"/>
        <v/>
      </c>
      <c r="AA18" s="59" t="str">
        <f t="shared" si="19"/>
        <v/>
      </c>
      <c r="AB18" s="169" t="str">
        <f t="shared" si="20"/>
        <v/>
      </c>
      <c r="AC18" s="169" t="str">
        <f t="shared" si="21"/>
        <v/>
      </c>
      <c r="AD18" s="59" t="str">
        <f t="shared" si="22"/>
        <v/>
      </c>
      <c r="AE18" s="59" t="str">
        <f t="shared" si="23"/>
        <v/>
      </c>
      <c r="AF18" s="59"/>
      <c r="AG18" s="59" t="str">
        <f t="shared" si="24"/>
        <v/>
      </c>
      <c r="AH18" s="59" t="str">
        <f t="shared" si="25"/>
        <v/>
      </c>
      <c r="AI18" s="217" t="str">
        <f t="shared" si="26"/>
        <v/>
      </c>
      <c r="AJ18" s="305">
        <v>59</v>
      </c>
      <c r="AK18" s="193" t="str">
        <f t="shared" si="27"/>
        <v/>
      </c>
      <c r="AL18" s="164"/>
      <c r="AM18" s="33"/>
      <c r="AN18" s="284"/>
      <c r="AO18" s="284"/>
      <c r="AP18" s="284"/>
      <c r="AQ18" s="293"/>
      <c r="AR18" s="358"/>
      <c r="AS18" s="296"/>
      <c r="AT18" s="296"/>
      <c r="AU18" s="94"/>
      <c r="AV18" s="86"/>
      <c r="AW18" s="94"/>
      <c r="AX18" s="155"/>
      <c r="AY18" s="158"/>
      <c r="AZ18" s="276"/>
      <c r="BA18" s="199"/>
      <c r="BB18" s="401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93"/>
      <c r="CB18" s="10" t="s">
        <v>152</v>
      </c>
      <c r="CE18" s="10" t="s">
        <v>152</v>
      </c>
      <c r="CG18" s="10" t="s">
        <v>152</v>
      </c>
      <c r="CH18" s="10" t="s">
        <v>152</v>
      </c>
    </row>
    <row r="19" spans="2:86" s="10" customFormat="1">
      <c r="B19" s="5">
        <f>B18</f>
        <v>43743</v>
      </c>
      <c r="C19" s="6">
        <v>0.375</v>
      </c>
      <c r="D19" s="254"/>
      <c r="E19" s="18"/>
      <c r="F19" s="20"/>
      <c r="G19" s="243"/>
      <c r="H19" s="36"/>
      <c r="I19" s="19"/>
      <c r="J19" s="19"/>
      <c r="K19" s="19"/>
      <c r="L19" s="19"/>
      <c r="M19" s="235"/>
      <c r="N19" s="19"/>
      <c r="O19" s="19"/>
      <c r="P19" s="19"/>
      <c r="Q19" s="19"/>
      <c r="R19" s="19"/>
      <c r="S19" s="19"/>
      <c r="T19" s="19"/>
      <c r="U19" s="19"/>
      <c r="V19" s="19"/>
      <c r="W19" s="135" t="str">
        <f t="shared" si="15"/>
        <v/>
      </c>
      <c r="X19" s="77" t="str">
        <f t="shared" si="16"/>
        <v/>
      </c>
      <c r="Y19" s="60" t="str">
        <f t="shared" si="17"/>
        <v/>
      </c>
      <c r="Z19" s="60" t="str">
        <f t="shared" si="18"/>
        <v/>
      </c>
      <c r="AA19" s="60" t="str">
        <f t="shared" si="19"/>
        <v/>
      </c>
      <c r="AB19" s="136" t="str">
        <f t="shared" si="20"/>
        <v/>
      </c>
      <c r="AC19" s="136" t="str">
        <f t="shared" si="21"/>
        <v/>
      </c>
      <c r="AD19" s="60" t="str">
        <f t="shared" si="22"/>
        <v/>
      </c>
      <c r="AE19" s="60" t="str">
        <f t="shared" si="23"/>
        <v/>
      </c>
      <c r="AF19" s="60"/>
      <c r="AG19" s="60" t="str">
        <f t="shared" si="24"/>
        <v/>
      </c>
      <c r="AH19" s="60" t="str">
        <f t="shared" si="25"/>
        <v/>
      </c>
      <c r="AI19" s="190" t="str">
        <f t="shared" si="26"/>
        <v/>
      </c>
      <c r="AJ19" s="304">
        <v>59</v>
      </c>
      <c r="AK19" s="192" t="str">
        <f t="shared" si="27"/>
        <v/>
      </c>
      <c r="AL19" s="248"/>
      <c r="AM19" s="33"/>
      <c r="AN19" s="284"/>
      <c r="AO19" s="284"/>
      <c r="AP19" s="284"/>
      <c r="AQ19" s="293"/>
      <c r="AR19" s="284"/>
      <c r="AS19" s="296"/>
      <c r="AT19" s="296"/>
      <c r="AU19" s="94"/>
      <c r="AV19" s="87"/>
      <c r="AW19" s="94"/>
      <c r="AX19" s="141"/>
      <c r="AY19" s="142"/>
      <c r="AZ19" s="205"/>
      <c r="BA19" s="48"/>
      <c r="BB19" s="402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93"/>
      <c r="CB19" s="10" t="s">
        <v>152</v>
      </c>
      <c r="CE19" s="10" t="s">
        <v>152</v>
      </c>
      <c r="CG19" s="10" t="s">
        <v>152</v>
      </c>
      <c r="CH19" s="10" t="s">
        <v>152</v>
      </c>
    </row>
    <row r="20" spans="2:86" s="10" customFormat="1" ht="13.5" customHeight="1">
      <c r="B20" s="5">
        <f t="shared" si="28"/>
        <v>43743</v>
      </c>
      <c r="C20" s="6">
        <v>0.41666666666666702</v>
      </c>
      <c r="D20" s="254"/>
      <c r="E20" s="18"/>
      <c r="F20" s="20"/>
      <c r="G20" s="243"/>
      <c r="H20" s="36"/>
      <c r="I20" s="19"/>
      <c r="J20" s="19"/>
      <c r="K20" s="19"/>
      <c r="L20" s="19"/>
      <c r="M20" s="235"/>
      <c r="N20" s="19"/>
      <c r="O20" s="19"/>
      <c r="P20" s="372"/>
      <c r="Q20" s="372"/>
      <c r="R20" s="372"/>
      <c r="S20" s="372"/>
      <c r="T20" s="372"/>
      <c r="U20" s="372"/>
      <c r="V20" s="19"/>
      <c r="W20" s="135" t="str">
        <f t="shared" si="15"/>
        <v/>
      </c>
      <c r="X20" s="77" t="str">
        <f t="shared" si="16"/>
        <v/>
      </c>
      <c r="Y20" s="60" t="str">
        <f t="shared" si="17"/>
        <v/>
      </c>
      <c r="Z20" s="60" t="str">
        <f t="shared" si="18"/>
        <v/>
      </c>
      <c r="AA20" s="60" t="str">
        <f t="shared" si="19"/>
        <v/>
      </c>
      <c r="AB20" s="136" t="str">
        <f t="shared" si="20"/>
        <v/>
      </c>
      <c r="AC20" s="136" t="str">
        <f t="shared" si="21"/>
        <v/>
      </c>
      <c r="AD20" s="60" t="str">
        <f t="shared" si="22"/>
        <v/>
      </c>
      <c r="AE20" s="60" t="str">
        <f t="shared" si="23"/>
        <v/>
      </c>
      <c r="AF20" s="60"/>
      <c r="AG20" s="60" t="str">
        <f t="shared" si="24"/>
        <v/>
      </c>
      <c r="AH20" s="60" t="str">
        <f t="shared" si="25"/>
        <v/>
      </c>
      <c r="AI20" s="190" t="str">
        <f t="shared" si="26"/>
        <v/>
      </c>
      <c r="AJ20" s="306">
        <v>59</v>
      </c>
      <c r="AK20" s="192" t="str">
        <f t="shared" si="27"/>
        <v/>
      </c>
      <c r="AL20" s="21"/>
      <c r="AM20" s="33"/>
      <c r="AN20" s="284"/>
      <c r="AO20" s="284"/>
      <c r="AP20" s="284"/>
      <c r="AQ20" s="293"/>
      <c r="AR20" s="284"/>
      <c r="AS20" s="296"/>
      <c r="AT20" s="296"/>
      <c r="AU20" s="94"/>
      <c r="AV20" s="87"/>
      <c r="AW20" s="94"/>
      <c r="AX20" s="141"/>
      <c r="AY20" s="142"/>
      <c r="AZ20" s="205"/>
      <c r="BA20" s="48"/>
      <c r="BB20" s="402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93"/>
      <c r="CB20" s="10" t="s">
        <v>152</v>
      </c>
      <c r="CE20" s="10" t="s">
        <v>152</v>
      </c>
      <c r="CG20" s="10" t="s">
        <v>152</v>
      </c>
      <c r="CH20" s="10" t="s">
        <v>152</v>
      </c>
    </row>
    <row r="21" spans="2:86" s="10" customFormat="1" ht="14.25" customHeight="1">
      <c r="B21" s="5">
        <f t="shared" si="28"/>
        <v>43743</v>
      </c>
      <c r="C21" s="6">
        <v>0.45833333333333298</v>
      </c>
      <c r="D21" s="254"/>
      <c r="E21" s="18"/>
      <c r="F21" s="20"/>
      <c r="G21" s="243"/>
      <c r="H21" s="19"/>
      <c r="I21" s="19"/>
      <c r="J21" s="19"/>
      <c r="K21" s="19"/>
      <c r="L21" s="19"/>
      <c r="M21" s="153"/>
      <c r="O21" s="19"/>
      <c r="P21" s="19"/>
      <c r="Q21" s="19"/>
      <c r="R21" s="19"/>
      <c r="S21" s="19"/>
      <c r="T21" s="19"/>
      <c r="U21" s="19"/>
      <c r="V21" s="19"/>
      <c r="W21" s="135"/>
      <c r="X21" s="77"/>
      <c r="Y21" s="60"/>
      <c r="Z21" s="60"/>
      <c r="AA21" s="60"/>
      <c r="AB21" s="136"/>
      <c r="AC21" s="136"/>
      <c r="AD21" s="60"/>
      <c r="AE21" s="60"/>
      <c r="AF21" s="60"/>
      <c r="AG21" s="60"/>
      <c r="AH21" s="60" t="str">
        <f t="shared" si="25"/>
        <v/>
      </c>
      <c r="AI21" s="190" t="str">
        <f t="shared" si="26"/>
        <v/>
      </c>
      <c r="AJ21" s="304">
        <v>59</v>
      </c>
      <c r="AK21" s="192"/>
      <c r="AL21" s="248"/>
      <c r="AM21" s="33"/>
      <c r="AN21" s="284"/>
      <c r="AO21" s="361"/>
      <c r="AP21" s="284"/>
      <c r="AQ21" s="293"/>
      <c r="AR21" s="284"/>
      <c r="AS21" s="296"/>
      <c r="AT21" s="296"/>
      <c r="AV21" s="87"/>
      <c r="AX21" s="141"/>
      <c r="AY21" s="142"/>
      <c r="AZ21" s="205"/>
      <c r="BA21" s="48"/>
      <c r="BB21" s="402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CB21" s="10" t="s">
        <v>152</v>
      </c>
      <c r="CE21" s="10" t="s">
        <v>152</v>
      </c>
      <c r="CG21" s="10" t="s">
        <v>152</v>
      </c>
      <c r="CH21" s="10" t="s">
        <v>152</v>
      </c>
    </row>
    <row r="22" spans="2:86" s="10" customFormat="1">
      <c r="B22" s="5">
        <f t="shared" si="28"/>
        <v>43743</v>
      </c>
      <c r="C22" s="6">
        <v>0.5</v>
      </c>
      <c r="D22" s="254"/>
      <c r="E22" s="256"/>
      <c r="F22" s="20"/>
      <c r="G22" s="243"/>
      <c r="H22" s="36"/>
      <c r="I22" s="19"/>
      <c r="J22" s="19"/>
      <c r="K22" s="19"/>
      <c r="L22" s="19"/>
      <c r="M22" s="235"/>
      <c r="N22" s="19"/>
      <c r="O22" s="19"/>
      <c r="P22" s="19"/>
      <c r="Q22" s="19"/>
      <c r="R22" s="19"/>
      <c r="S22" s="19"/>
      <c r="T22" s="19"/>
      <c r="U22" s="19"/>
      <c r="V22" s="19"/>
      <c r="W22" s="135" t="str">
        <f>IF((H22+I22+J22+K22+L22+M22+N22+O22+P22+Q22+R22+S22+T22+U22+V22+G22)&lt;&gt;0,(G22+H22+I22+J22+K22+L22+M22+N22+O22+P22+Q22+R22+S22+T22+U22+V22),"")</f>
        <v/>
      </c>
      <c r="X22" s="77" t="str">
        <f t="shared" ref="X22:X33" si="29">IF((H22+I22+J22+K22)&lt;&gt;0,4.07*(K22-D22-0.7*M22)-(7.6*(H22-0.06)+6.72*I22+1.43*J22),"")</f>
        <v/>
      </c>
      <c r="Y22" s="60" t="str">
        <f t="shared" ref="Y22:Y33" si="30">IF((H22+I22+J22+K22)&lt;&gt;0,8.6*H22+5.07*I22+1.08*J22-3.07*(K22-D22-0.7*M22),"")</f>
        <v/>
      </c>
      <c r="Z22" s="60" t="str">
        <f t="shared" ref="Z22:Z33" si="31">IF((H22+I22+J22+K22)&lt;&gt;0,2.65*I22-1.69*J22,"")</f>
        <v/>
      </c>
      <c r="AA22" s="60" t="str">
        <f t="shared" ref="AA22:AA33" si="32">IF((H22+I22+J22+K22)&lt;&gt;0,3.04*J22,"")</f>
        <v/>
      </c>
      <c r="AB22" s="136" t="str">
        <f t="shared" ref="AB22:AB33" si="33">IF((I22+J22)&lt;&gt;0,H22/(I22+J22),"")</f>
        <v/>
      </c>
      <c r="AC22" s="136" t="str">
        <f t="shared" ref="AC22:AC33" si="34">IF(J22&lt;&gt;0,I22/J22,"")</f>
        <v/>
      </c>
      <c r="AD22" s="60" t="str">
        <f t="shared" ref="AD22:AD33" si="35">IF((H22+I22+J22)&lt;&gt;0,K22/(H22+I22+J22),"")</f>
        <v/>
      </c>
      <c r="AE22" s="60" t="str">
        <f t="shared" ref="AE22:AE33" si="36">IF((2.8*H22+1.18*I22+0.65*J22)&lt;&gt;0,100*(K22)/(2.8*H22+1.18*I22+0.65*J22),"")</f>
        <v/>
      </c>
      <c r="AF22" s="60"/>
      <c r="AG22" s="60" t="str">
        <f t="shared" ref="AG22:AG33" si="37">IF((H22+I22+J22+K22-(0.7*M22+(2/3)*G22+D22))&lt;&gt;0,IF((2.8*H22+1.65*I22+0.35*J22)&lt;&gt;0,100*(2.8*H22+1.65*I22+0.35*J22-(K22-0.7*M22-(2/3)*G22-D22))/(H22+I22+J22+K22-(0.7*M22+(2/3)*G22+D22)),""),"")</f>
        <v/>
      </c>
      <c r="AH22" s="60" t="str">
        <f t="shared" si="25"/>
        <v/>
      </c>
      <c r="AI22" s="190" t="str">
        <f t="shared" si="26"/>
        <v/>
      </c>
      <c r="AJ22" s="306">
        <v>59</v>
      </c>
      <c r="AK22" s="192" t="str">
        <f t="shared" ref="AK22:AK33" si="38">IF(H22="","",(X22-AJ22)^2)</f>
        <v/>
      </c>
      <c r="AL22" s="248"/>
      <c r="AM22" s="33"/>
      <c r="AN22" s="284"/>
      <c r="AO22" s="284"/>
      <c r="AP22" s="284"/>
      <c r="AQ22" s="293"/>
      <c r="AR22" s="284"/>
      <c r="AS22" s="383"/>
      <c r="AT22" s="383"/>
      <c r="AU22" s="94"/>
      <c r="AV22" s="87"/>
      <c r="AW22" s="94"/>
      <c r="AX22" s="141"/>
      <c r="AY22" s="142"/>
      <c r="AZ22" s="205"/>
      <c r="BA22" s="82"/>
      <c r="BB22" s="403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271"/>
      <c r="CB22" s="10" t="s">
        <v>152</v>
      </c>
      <c r="CE22" s="10" t="s">
        <v>152</v>
      </c>
      <c r="CG22" s="10" t="s">
        <v>152</v>
      </c>
      <c r="CH22" s="10" t="s">
        <v>152</v>
      </c>
    </row>
    <row r="23" spans="2:86" s="10" customFormat="1" ht="13.5" customHeight="1">
      <c r="B23" s="5">
        <f t="shared" si="28"/>
        <v>43743</v>
      </c>
      <c r="C23" s="6">
        <v>0.54166666666666696</v>
      </c>
      <c r="D23" s="254"/>
      <c r="E23" s="18"/>
      <c r="F23" s="20"/>
      <c r="G23" s="243"/>
      <c r="H23" s="36"/>
      <c r="I23" s="19"/>
      <c r="J23" s="19"/>
      <c r="K23" s="19"/>
      <c r="L23" s="19"/>
      <c r="M23" s="235"/>
      <c r="N23" s="19"/>
      <c r="O23" s="19"/>
      <c r="P23" s="19"/>
      <c r="Q23" s="19"/>
      <c r="R23" s="19"/>
      <c r="S23" s="19"/>
      <c r="T23" s="19"/>
      <c r="U23" s="19"/>
      <c r="V23" s="19"/>
      <c r="W23" s="135" t="str">
        <f>IF((H23+I23+J23+K23+L23+M23+N23+O23+P23+Q23+R23+S23+T23+U23+V23+G23)&lt;&gt;0,(G23+H23+I23+J23+K23+L23+M23+N23+O23+P23+Q23+R23+S23+T23+U23+V23),"")</f>
        <v/>
      </c>
      <c r="X23" s="77" t="str">
        <f t="shared" si="29"/>
        <v/>
      </c>
      <c r="Y23" s="60" t="str">
        <f t="shared" si="30"/>
        <v/>
      </c>
      <c r="Z23" s="60" t="str">
        <f t="shared" si="31"/>
        <v/>
      </c>
      <c r="AA23" s="60" t="str">
        <f t="shared" si="32"/>
        <v/>
      </c>
      <c r="AB23" s="136" t="str">
        <f t="shared" si="33"/>
        <v/>
      </c>
      <c r="AC23" s="136" t="str">
        <f t="shared" si="34"/>
        <v/>
      </c>
      <c r="AD23" s="60" t="str">
        <f t="shared" si="35"/>
        <v/>
      </c>
      <c r="AE23" s="60" t="str">
        <f t="shared" si="36"/>
        <v/>
      </c>
      <c r="AF23" s="60"/>
      <c r="AG23" s="60" t="str">
        <f t="shared" si="37"/>
        <v/>
      </c>
      <c r="AH23" s="60" t="str">
        <f t="shared" si="25"/>
        <v/>
      </c>
      <c r="AI23" s="190" t="str">
        <f t="shared" si="26"/>
        <v/>
      </c>
      <c r="AJ23" s="304">
        <v>59</v>
      </c>
      <c r="AK23" s="192" t="str">
        <f t="shared" si="38"/>
        <v/>
      </c>
      <c r="AL23" s="248"/>
      <c r="AM23" s="33"/>
      <c r="AN23" s="284"/>
      <c r="AO23" s="284"/>
      <c r="AP23" s="284"/>
      <c r="AQ23" s="293"/>
      <c r="AR23" s="284"/>
      <c r="AS23" s="296"/>
      <c r="AT23" s="296"/>
      <c r="AU23" s="94"/>
      <c r="AV23" s="87"/>
      <c r="AW23" s="94"/>
      <c r="AX23" s="141"/>
      <c r="AY23" s="142"/>
      <c r="AZ23" s="205"/>
      <c r="BA23" s="48"/>
      <c r="BB23" s="402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271"/>
      <c r="CB23" s="10" t="s">
        <v>152</v>
      </c>
      <c r="CE23" s="10" t="s">
        <v>152</v>
      </c>
      <c r="CG23" s="10" t="s">
        <v>152</v>
      </c>
      <c r="CH23" s="10" t="s">
        <v>152</v>
      </c>
    </row>
    <row r="24" spans="2:86" s="10" customFormat="1">
      <c r="B24" s="5">
        <f t="shared" si="28"/>
        <v>43743</v>
      </c>
      <c r="C24" s="6">
        <v>0.58333333333333304</v>
      </c>
      <c r="D24" s="254"/>
      <c r="E24" s="18"/>
      <c r="F24" s="20"/>
      <c r="G24" s="243"/>
      <c r="H24" s="36"/>
      <c r="I24" s="19"/>
      <c r="J24" s="19"/>
      <c r="K24" s="19"/>
      <c r="L24" s="19"/>
      <c r="M24" s="235"/>
      <c r="N24" s="19"/>
      <c r="O24" s="19"/>
      <c r="P24" s="19"/>
      <c r="Q24" s="19"/>
      <c r="R24" s="19"/>
      <c r="S24" s="19"/>
      <c r="T24" s="19"/>
      <c r="U24" s="19"/>
      <c r="V24" s="19"/>
      <c r="W24" s="135" t="str">
        <f>IF((H24+I24+J24+K24+L24+M24+N24+O24+P24+Q24+R24+S24+T24+U24+V24+G24)&lt;&gt;0,(G24+H24+I24+J24+K24+L24+M24+N24+O24+P24+Q24+R24+S24+T24+U24+V24),"")</f>
        <v/>
      </c>
      <c r="X24" s="77" t="str">
        <f t="shared" si="29"/>
        <v/>
      </c>
      <c r="Y24" s="60" t="str">
        <f t="shared" si="30"/>
        <v/>
      </c>
      <c r="Z24" s="60" t="str">
        <f t="shared" si="31"/>
        <v/>
      </c>
      <c r="AA24" s="60" t="str">
        <f t="shared" si="32"/>
        <v/>
      </c>
      <c r="AB24" s="136" t="str">
        <f t="shared" si="33"/>
        <v/>
      </c>
      <c r="AC24" s="136" t="str">
        <f t="shared" si="34"/>
        <v/>
      </c>
      <c r="AD24" s="60" t="str">
        <f t="shared" si="35"/>
        <v/>
      </c>
      <c r="AE24" s="60" t="str">
        <f t="shared" si="36"/>
        <v/>
      </c>
      <c r="AF24" s="60"/>
      <c r="AG24" s="60" t="str">
        <f t="shared" si="37"/>
        <v/>
      </c>
      <c r="AH24" s="60" t="str">
        <f t="shared" si="25"/>
        <v/>
      </c>
      <c r="AI24" s="190" t="str">
        <f t="shared" si="26"/>
        <v/>
      </c>
      <c r="AJ24" s="306">
        <v>59</v>
      </c>
      <c r="AK24" s="192" t="str">
        <f t="shared" si="38"/>
        <v/>
      </c>
      <c r="AL24" s="248"/>
      <c r="AM24" s="33"/>
      <c r="AN24" s="284"/>
      <c r="AO24" s="284"/>
      <c r="AP24" s="284"/>
      <c r="AQ24" s="293"/>
      <c r="AR24" s="284"/>
      <c r="AS24" s="383"/>
      <c r="AT24" s="296"/>
      <c r="AU24" s="94"/>
      <c r="AV24" s="87"/>
      <c r="AW24" s="94"/>
      <c r="AX24" s="141"/>
      <c r="AY24" s="142"/>
      <c r="AZ24" s="205"/>
      <c r="BA24" s="199"/>
      <c r="BB24" s="401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9"/>
      <c r="CB24" s="10" t="s">
        <v>152</v>
      </c>
      <c r="CE24" s="10" t="s">
        <v>152</v>
      </c>
      <c r="CG24" s="10" t="s">
        <v>152</v>
      </c>
      <c r="CH24" s="10" t="s">
        <v>152</v>
      </c>
    </row>
    <row r="25" spans="2:86" s="10" customFormat="1" ht="13.5" thickBot="1">
      <c r="B25" s="7">
        <f t="shared" si="28"/>
        <v>43743</v>
      </c>
      <c r="C25" s="8">
        <v>0.625</v>
      </c>
      <c r="D25" s="380"/>
      <c r="E25" s="257"/>
      <c r="F25" s="183"/>
      <c r="G25" s="245"/>
      <c r="H25" s="37"/>
      <c r="I25" s="24"/>
      <c r="J25" s="24"/>
      <c r="K25" s="24"/>
      <c r="L25" s="156"/>
      <c r="M25" s="283"/>
      <c r="N25" s="24"/>
      <c r="O25" s="24"/>
      <c r="P25" s="24"/>
      <c r="Q25" s="24"/>
      <c r="R25" s="24"/>
      <c r="S25" s="24"/>
      <c r="T25" s="24"/>
      <c r="U25" s="24"/>
      <c r="V25" s="24"/>
      <c r="W25" s="167" t="str">
        <f>IF((H25+I25+J25+K25+W1+M25+N25+O25+P25+Q25+R25+S25+T25+U25+V25+G25)&lt;&gt;0,(G25+H25+I25+J25+K25+W1+M25+N25+O25+P25+Q25+R25+S25+T25+U25+V25),"")</f>
        <v/>
      </c>
      <c r="X25" s="375" t="str">
        <f t="shared" si="29"/>
        <v/>
      </c>
      <c r="Y25" s="62" t="str">
        <f t="shared" si="30"/>
        <v/>
      </c>
      <c r="Z25" s="62" t="str">
        <f t="shared" si="31"/>
        <v/>
      </c>
      <c r="AA25" s="62" t="str">
        <f t="shared" si="32"/>
        <v/>
      </c>
      <c r="AB25" s="137" t="str">
        <f t="shared" si="33"/>
        <v/>
      </c>
      <c r="AC25" s="137" t="str">
        <f t="shared" si="34"/>
        <v/>
      </c>
      <c r="AD25" s="62" t="str">
        <f t="shared" si="35"/>
        <v/>
      </c>
      <c r="AE25" s="62" t="str">
        <f t="shared" si="36"/>
        <v/>
      </c>
      <c r="AF25" s="62"/>
      <c r="AG25" s="62" t="str">
        <f t="shared" si="37"/>
        <v/>
      </c>
      <c r="AH25" s="62" t="str">
        <f>IF((3*I25+2.25*J25+W1+O25+N25)&lt;&gt;0,3*I25+2.25*J25+W1+O25+N25,"")</f>
        <v/>
      </c>
      <c r="AI25" s="376" t="str">
        <f t="shared" si="26"/>
        <v/>
      </c>
      <c r="AJ25" s="378">
        <v>59</v>
      </c>
      <c r="AK25" s="377" t="str">
        <f t="shared" si="38"/>
        <v/>
      </c>
      <c r="AL25" s="249"/>
      <c r="AM25" s="33"/>
      <c r="AN25" s="297"/>
      <c r="AO25" s="297"/>
      <c r="AP25" s="297"/>
      <c r="AQ25" s="298"/>
      <c r="AR25" s="297"/>
      <c r="AS25" s="298"/>
      <c r="AT25" s="298"/>
      <c r="AU25" s="94"/>
      <c r="AV25" s="87"/>
      <c r="AW25" s="94"/>
      <c r="AX25" s="143"/>
      <c r="AY25" s="144"/>
      <c r="AZ25" s="277"/>
      <c r="BA25" s="49"/>
      <c r="BB25" s="40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CB25" s="10" t="s">
        <v>152</v>
      </c>
      <c r="CE25" s="10" t="s">
        <v>152</v>
      </c>
      <c r="CG25" s="10" t="s">
        <v>152</v>
      </c>
      <c r="CH25" s="10" t="s">
        <v>152</v>
      </c>
    </row>
    <row r="26" spans="2:86" s="10" customFormat="1">
      <c r="B26" s="250">
        <f t="shared" si="28"/>
        <v>43743</v>
      </c>
      <c r="C26" s="251">
        <v>0.66666666666666696</v>
      </c>
      <c r="D26" s="368"/>
      <c r="E26" s="186"/>
      <c r="F26" s="216"/>
      <c r="G26" s="242"/>
      <c r="H26" s="36"/>
      <c r="I26" s="19"/>
      <c r="J26" s="19"/>
      <c r="K26" s="19"/>
      <c r="L26" s="69"/>
      <c r="M26" s="235"/>
      <c r="N26" s="19"/>
      <c r="O26" s="19"/>
      <c r="P26" s="19"/>
      <c r="Q26" s="19"/>
      <c r="R26" s="19"/>
      <c r="S26" s="19"/>
      <c r="T26" s="19"/>
      <c r="U26" s="19"/>
      <c r="V26" s="69"/>
      <c r="W26" s="134" t="str">
        <f t="shared" ref="W26:W33" si="39">IF((H26+I26+J26+K26+L26+M26+N26+O26+P26+Q26+R26+S26+T26+U26+V26+G26)&lt;&gt;0,(G26+H26+I26+J26+K26+L26+M26+N26+O26+P26+Q26+R26+S26+T26+U26+V26),"")</f>
        <v/>
      </c>
      <c r="X26" s="374" t="str">
        <f t="shared" si="29"/>
        <v/>
      </c>
      <c r="Y26" s="83" t="str">
        <f t="shared" si="30"/>
        <v/>
      </c>
      <c r="Z26" s="83" t="str">
        <f t="shared" si="31"/>
        <v/>
      </c>
      <c r="AA26" s="83" t="str">
        <f t="shared" si="32"/>
        <v/>
      </c>
      <c r="AB26" s="195" t="str">
        <f t="shared" si="33"/>
        <v/>
      </c>
      <c r="AC26" s="195" t="str">
        <f t="shared" si="34"/>
        <v/>
      </c>
      <c r="AD26" s="83" t="str">
        <f t="shared" si="35"/>
        <v/>
      </c>
      <c r="AE26" s="83" t="str">
        <f t="shared" si="36"/>
        <v/>
      </c>
      <c r="AF26" s="83"/>
      <c r="AG26" s="83" t="str">
        <f t="shared" si="37"/>
        <v/>
      </c>
      <c r="AH26" s="83" t="str">
        <f t="shared" ref="AH26:AH33" si="40">IF((3*I26+2.25*J26+L26+O26+N26)&lt;&gt;0,3*I26+2.25*J26+L26+O26+N26,"")</f>
        <v/>
      </c>
      <c r="AI26" s="325" t="str">
        <f t="shared" si="26"/>
        <v/>
      </c>
      <c r="AJ26" s="306">
        <v>59</v>
      </c>
      <c r="AK26" s="324" t="str">
        <f t="shared" si="38"/>
        <v/>
      </c>
      <c r="AL26" s="164"/>
      <c r="AM26" s="33"/>
      <c r="AN26" s="284"/>
      <c r="AO26" s="284"/>
      <c r="AP26" s="284"/>
      <c r="AQ26" s="293"/>
      <c r="AR26" s="358"/>
      <c r="AS26" s="296"/>
      <c r="AT26" s="296"/>
      <c r="AU26" s="94"/>
      <c r="AV26" s="86"/>
      <c r="AW26" s="94"/>
      <c r="AX26" s="149"/>
      <c r="AY26" s="273"/>
      <c r="AZ26" s="274"/>
      <c r="BA26" s="199"/>
      <c r="BB26" s="401"/>
      <c r="BC26" s="275"/>
      <c r="BD26" s="275"/>
      <c r="BE26" s="275"/>
      <c r="BF26" s="275"/>
      <c r="BG26" s="275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CB26" s="10" t="s">
        <v>152</v>
      </c>
      <c r="CE26" s="10" t="s">
        <v>152</v>
      </c>
      <c r="CG26" s="10" t="s">
        <v>152</v>
      </c>
      <c r="CH26" s="10" t="s">
        <v>152</v>
      </c>
    </row>
    <row r="27" spans="2:86" s="10" customFormat="1" ht="13.5" customHeight="1">
      <c r="B27" s="250">
        <f t="shared" si="28"/>
        <v>43743</v>
      </c>
      <c r="C27" s="4">
        <v>0.70833333333333337</v>
      </c>
      <c r="D27" s="254"/>
      <c r="E27" s="18"/>
      <c r="F27" s="20"/>
      <c r="G27" s="261"/>
      <c r="H27" s="19"/>
      <c r="I27" s="19"/>
      <c r="J27" s="153"/>
      <c r="K27" s="19"/>
      <c r="L27" s="19"/>
      <c r="M27" s="235"/>
      <c r="N27" s="19"/>
      <c r="O27" s="19"/>
      <c r="P27" s="19"/>
      <c r="Q27" s="311"/>
      <c r="R27" s="19"/>
      <c r="S27" s="19"/>
      <c r="T27" s="19"/>
      <c r="U27" s="19"/>
      <c r="V27" s="194"/>
      <c r="W27" s="135" t="str">
        <f t="shared" si="39"/>
        <v/>
      </c>
      <c r="X27" s="77" t="str">
        <f t="shared" si="29"/>
        <v/>
      </c>
      <c r="Y27" s="60" t="str">
        <f t="shared" si="30"/>
        <v/>
      </c>
      <c r="Z27" s="60" t="str">
        <f t="shared" si="31"/>
        <v/>
      </c>
      <c r="AA27" s="60" t="str">
        <f t="shared" si="32"/>
        <v/>
      </c>
      <c r="AB27" s="136" t="str">
        <f t="shared" si="33"/>
        <v/>
      </c>
      <c r="AC27" s="136" t="str">
        <f t="shared" si="34"/>
        <v/>
      </c>
      <c r="AD27" s="60" t="str">
        <f t="shared" si="35"/>
        <v/>
      </c>
      <c r="AE27" s="60" t="str">
        <f t="shared" si="36"/>
        <v/>
      </c>
      <c r="AF27" s="60"/>
      <c r="AG27" s="60" t="str">
        <f t="shared" si="37"/>
        <v/>
      </c>
      <c r="AH27" s="60" t="str">
        <f t="shared" si="40"/>
        <v/>
      </c>
      <c r="AI27" s="190" t="str">
        <f t="shared" si="26"/>
        <v/>
      </c>
      <c r="AJ27" s="306">
        <v>59</v>
      </c>
      <c r="AK27" s="192" t="str">
        <f t="shared" si="38"/>
        <v/>
      </c>
      <c r="AL27" s="248"/>
      <c r="AM27" s="33"/>
      <c r="AN27" s="284"/>
      <c r="AO27" s="284"/>
      <c r="AP27" s="284"/>
      <c r="AQ27" s="293"/>
      <c r="AR27" s="284"/>
      <c r="AS27" s="296"/>
      <c r="AT27" s="296"/>
      <c r="AU27" s="94"/>
      <c r="AV27" s="87"/>
      <c r="AW27" s="94"/>
      <c r="AX27" s="141"/>
      <c r="AY27" s="142"/>
      <c r="AZ27" s="145"/>
      <c r="BA27" s="48"/>
      <c r="BB27" s="402"/>
      <c r="BC27" s="17"/>
      <c r="BD27" s="17"/>
      <c r="BE27" s="17"/>
      <c r="BF27" s="17"/>
      <c r="BG27" s="17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CB27" s="10" t="s">
        <v>152</v>
      </c>
      <c r="CE27" s="10" t="s">
        <v>152</v>
      </c>
      <c r="CG27" s="10" t="s">
        <v>152</v>
      </c>
      <c r="CH27" s="10" t="s">
        <v>152</v>
      </c>
    </row>
    <row r="28" spans="2:86" s="10" customFormat="1" ht="14.25" customHeight="1">
      <c r="B28" s="250">
        <f t="shared" si="28"/>
        <v>43743</v>
      </c>
      <c r="C28" s="4">
        <v>0.75</v>
      </c>
      <c r="D28" s="254"/>
      <c r="E28" s="18"/>
      <c r="F28" s="20"/>
      <c r="G28" s="262"/>
      <c r="H28" s="19"/>
      <c r="I28" s="19"/>
      <c r="J28" s="19"/>
      <c r="K28" s="19"/>
      <c r="L28" s="19"/>
      <c r="M28" s="235"/>
      <c r="N28" s="19"/>
      <c r="O28" s="19"/>
      <c r="P28" s="19"/>
      <c r="Q28" s="19"/>
      <c r="R28" s="19"/>
      <c r="S28" s="19"/>
      <c r="T28" s="19"/>
      <c r="U28" s="19"/>
      <c r="V28" s="194"/>
      <c r="W28" s="135" t="str">
        <f t="shared" si="39"/>
        <v/>
      </c>
      <c r="X28" s="77" t="str">
        <f t="shared" si="29"/>
        <v/>
      </c>
      <c r="Y28" s="60" t="str">
        <f t="shared" si="30"/>
        <v/>
      </c>
      <c r="Z28" s="60" t="str">
        <f t="shared" si="31"/>
        <v/>
      </c>
      <c r="AA28" s="60" t="str">
        <f t="shared" si="32"/>
        <v/>
      </c>
      <c r="AB28" s="136" t="str">
        <f t="shared" si="33"/>
        <v/>
      </c>
      <c r="AC28" s="136" t="str">
        <f t="shared" si="34"/>
        <v/>
      </c>
      <c r="AD28" s="60" t="str">
        <f t="shared" si="35"/>
        <v/>
      </c>
      <c r="AE28" s="60" t="str">
        <f t="shared" si="36"/>
        <v/>
      </c>
      <c r="AF28" s="60"/>
      <c r="AG28" s="60" t="str">
        <f t="shared" si="37"/>
        <v/>
      </c>
      <c r="AH28" s="60" t="str">
        <f t="shared" si="40"/>
        <v/>
      </c>
      <c r="AI28" s="190" t="str">
        <f t="shared" si="26"/>
        <v/>
      </c>
      <c r="AJ28" s="306">
        <v>59</v>
      </c>
      <c r="AK28" s="192" t="str">
        <f t="shared" si="38"/>
        <v/>
      </c>
      <c r="AL28" s="248"/>
      <c r="AM28" s="33"/>
      <c r="AN28" s="361"/>
      <c r="AO28" s="284"/>
      <c r="AP28" s="361"/>
      <c r="AQ28" s="293"/>
      <c r="AR28" s="284"/>
      <c r="AS28" s="383"/>
      <c r="AT28" s="383"/>
      <c r="AU28" s="94"/>
      <c r="AV28" s="87"/>
      <c r="AW28" s="94"/>
      <c r="AX28" s="141"/>
      <c r="AY28" s="142"/>
      <c r="AZ28" s="145"/>
      <c r="BA28" s="48"/>
      <c r="BB28" s="402"/>
      <c r="BC28" s="17"/>
      <c r="BD28" s="17"/>
      <c r="BE28" s="17"/>
      <c r="BF28" s="17"/>
      <c r="BG28" s="17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/>
      <c r="CB28" s="10" t="s">
        <v>152</v>
      </c>
      <c r="CE28" s="10" t="s">
        <v>152</v>
      </c>
      <c r="CG28" s="10" t="s">
        <v>152</v>
      </c>
      <c r="CH28" s="10" t="s">
        <v>152</v>
      </c>
    </row>
    <row r="29" spans="2:86" s="10" customFormat="1" ht="13.5" customHeight="1">
      <c r="B29" s="250">
        <f t="shared" si="28"/>
        <v>43743</v>
      </c>
      <c r="C29" s="4">
        <v>0.79166666666666696</v>
      </c>
      <c r="D29" s="254"/>
      <c r="E29" s="18"/>
      <c r="F29" s="20"/>
      <c r="G29" s="262"/>
      <c r="H29" s="19"/>
      <c r="I29" s="19"/>
      <c r="J29" s="153"/>
      <c r="K29" s="19"/>
      <c r="L29" s="19"/>
      <c r="M29" s="153"/>
      <c r="N29" s="19"/>
      <c r="O29" s="19"/>
      <c r="P29" s="19"/>
      <c r="Q29" s="311"/>
      <c r="R29" s="19"/>
      <c r="S29" s="19"/>
      <c r="T29" s="19"/>
      <c r="U29" s="19"/>
      <c r="V29" s="194"/>
      <c r="W29" s="135" t="str">
        <f t="shared" si="39"/>
        <v/>
      </c>
      <c r="X29" s="77" t="str">
        <f t="shared" si="29"/>
        <v/>
      </c>
      <c r="Y29" s="60" t="str">
        <f t="shared" si="30"/>
        <v/>
      </c>
      <c r="Z29" s="60" t="str">
        <f t="shared" si="31"/>
        <v/>
      </c>
      <c r="AA29" s="60" t="str">
        <f t="shared" si="32"/>
        <v/>
      </c>
      <c r="AB29" s="136" t="str">
        <f t="shared" si="33"/>
        <v/>
      </c>
      <c r="AC29" s="136" t="str">
        <f t="shared" si="34"/>
        <v/>
      </c>
      <c r="AD29" s="60" t="str">
        <f t="shared" si="35"/>
        <v/>
      </c>
      <c r="AE29" s="60" t="str">
        <f t="shared" si="36"/>
        <v/>
      </c>
      <c r="AF29" s="60"/>
      <c r="AG29" s="60" t="str">
        <f t="shared" si="37"/>
        <v/>
      </c>
      <c r="AH29" s="60" t="str">
        <f t="shared" si="40"/>
        <v/>
      </c>
      <c r="AI29" s="190" t="str">
        <f t="shared" si="26"/>
        <v/>
      </c>
      <c r="AJ29" s="306">
        <v>59</v>
      </c>
      <c r="AK29" s="192" t="str">
        <f t="shared" si="38"/>
        <v/>
      </c>
      <c r="AL29" s="248"/>
      <c r="AM29" s="33"/>
      <c r="AN29" s="284"/>
      <c r="AO29" s="284"/>
      <c r="AP29" s="284"/>
      <c r="AQ29" s="285"/>
      <c r="AR29" s="284"/>
      <c r="AS29" s="296"/>
      <c r="AT29" s="296"/>
      <c r="AU29" s="94"/>
      <c r="AV29" s="87"/>
      <c r="AW29" s="94"/>
      <c r="AX29" s="141"/>
      <c r="AY29" s="142"/>
      <c r="AZ29" s="145"/>
      <c r="BA29" s="48"/>
      <c r="BB29" s="402"/>
      <c r="BC29" s="17"/>
      <c r="BD29" s="17"/>
      <c r="BE29" s="17"/>
      <c r="BF29" s="17"/>
      <c r="BG29" s="17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CB29" s="10" t="s">
        <v>152</v>
      </c>
      <c r="CE29" s="10" t="s">
        <v>152</v>
      </c>
      <c r="CG29" s="10" t="s">
        <v>152</v>
      </c>
      <c r="CH29" s="10" t="s">
        <v>152</v>
      </c>
    </row>
    <row r="30" spans="2:86" s="10" customFormat="1" ht="13.5" customHeight="1">
      <c r="B30" s="250">
        <f t="shared" si="28"/>
        <v>43743</v>
      </c>
      <c r="C30" s="4">
        <v>0.83333333333333304</v>
      </c>
      <c r="D30" s="254"/>
      <c r="E30" s="256"/>
      <c r="F30" s="20"/>
      <c r="G30" s="261"/>
      <c r="H30" s="19"/>
      <c r="I30" s="19"/>
      <c r="J30" s="19"/>
      <c r="K30" s="19"/>
      <c r="L30" s="19"/>
      <c r="M30" s="153"/>
      <c r="N30" s="19"/>
      <c r="O30" s="19"/>
      <c r="P30" s="19"/>
      <c r="Q30" s="19"/>
      <c r="R30" s="19"/>
      <c r="S30" s="19"/>
      <c r="T30" s="19"/>
      <c r="U30" s="19"/>
      <c r="V30" s="19"/>
      <c r="W30" s="135" t="str">
        <f t="shared" si="39"/>
        <v/>
      </c>
      <c r="X30" s="77" t="str">
        <f t="shared" si="29"/>
        <v/>
      </c>
      <c r="Y30" s="60" t="str">
        <f t="shared" si="30"/>
        <v/>
      </c>
      <c r="Z30" s="60" t="str">
        <f t="shared" si="31"/>
        <v/>
      </c>
      <c r="AA30" s="60" t="str">
        <f t="shared" si="32"/>
        <v/>
      </c>
      <c r="AB30" s="136" t="str">
        <f t="shared" si="33"/>
        <v/>
      </c>
      <c r="AC30" s="136" t="str">
        <f t="shared" si="34"/>
        <v/>
      </c>
      <c r="AD30" s="60" t="str">
        <f t="shared" si="35"/>
        <v/>
      </c>
      <c r="AE30" s="60" t="str">
        <f t="shared" si="36"/>
        <v/>
      </c>
      <c r="AF30" s="60"/>
      <c r="AG30" s="60" t="str">
        <f t="shared" si="37"/>
        <v/>
      </c>
      <c r="AH30" s="60" t="str">
        <f t="shared" si="40"/>
        <v/>
      </c>
      <c r="AI30" s="190" t="str">
        <f t="shared" si="26"/>
        <v/>
      </c>
      <c r="AJ30" s="306">
        <v>59</v>
      </c>
      <c r="AK30" s="192" t="str">
        <f t="shared" si="38"/>
        <v/>
      </c>
      <c r="AL30" s="248"/>
      <c r="AM30" s="33"/>
      <c r="AN30" s="331"/>
      <c r="AO30" s="284"/>
      <c r="AP30" s="319"/>
      <c r="AQ30" s="111"/>
      <c r="AR30" s="284"/>
      <c r="AS30" s="296"/>
      <c r="AT30" s="296"/>
      <c r="AU30" s="94"/>
      <c r="AV30" s="87"/>
      <c r="AW30" s="94"/>
      <c r="AX30" s="141"/>
      <c r="AY30" s="142"/>
      <c r="AZ30" s="145"/>
      <c r="BA30" s="82"/>
      <c r="BB30" s="403"/>
      <c r="BC30" s="17"/>
      <c r="BD30" s="17"/>
      <c r="BE30" s="17"/>
      <c r="BF30" s="17"/>
      <c r="BG30" s="17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CB30" s="10" t="s">
        <v>152</v>
      </c>
      <c r="CE30" s="10" t="s">
        <v>152</v>
      </c>
      <c r="CG30" s="10" t="s">
        <v>152</v>
      </c>
      <c r="CH30" s="10" t="s">
        <v>152</v>
      </c>
    </row>
    <row r="31" spans="2:86" s="10" customFormat="1">
      <c r="B31" s="250">
        <f t="shared" si="28"/>
        <v>43743</v>
      </c>
      <c r="C31" s="4">
        <v>0.875</v>
      </c>
      <c r="D31" s="254"/>
      <c r="E31" s="18"/>
      <c r="F31" s="20"/>
      <c r="G31" s="261"/>
      <c r="H31" s="19"/>
      <c r="I31" s="19"/>
      <c r="J31" s="19"/>
      <c r="K31" s="19"/>
      <c r="L31" s="19"/>
      <c r="M31" s="153"/>
      <c r="N31" s="19"/>
      <c r="O31" s="19"/>
      <c r="P31" s="19"/>
      <c r="Q31" s="311"/>
      <c r="R31" s="19"/>
      <c r="S31" s="19"/>
      <c r="T31" s="19"/>
      <c r="U31" s="19"/>
      <c r="V31" s="19"/>
      <c r="W31" s="135" t="str">
        <f t="shared" si="39"/>
        <v/>
      </c>
      <c r="X31" s="77" t="str">
        <f t="shared" si="29"/>
        <v/>
      </c>
      <c r="Y31" s="60" t="str">
        <f t="shared" si="30"/>
        <v/>
      </c>
      <c r="Z31" s="60" t="str">
        <f t="shared" si="31"/>
        <v/>
      </c>
      <c r="AA31" s="60" t="str">
        <f t="shared" si="32"/>
        <v/>
      </c>
      <c r="AB31" s="136" t="str">
        <f t="shared" si="33"/>
        <v/>
      </c>
      <c r="AC31" s="136" t="str">
        <f t="shared" si="34"/>
        <v/>
      </c>
      <c r="AD31" s="60" t="str">
        <f t="shared" si="35"/>
        <v/>
      </c>
      <c r="AE31" s="60" t="str">
        <f t="shared" si="36"/>
        <v/>
      </c>
      <c r="AF31" s="60"/>
      <c r="AG31" s="60" t="str">
        <f t="shared" si="37"/>
        <v/>
      </c>
      <c r="AH31" s="60" t="str">
        <f t="shared" si="40"/>
        <v/>
      </c>
      <c r="AI31" s="190" t="str">
        <f t="shared" si="26"/>
        <v/>
      </c>
      <c r="AJ31" s="306">
        <v>59</v>
      </c>
      <c r="AK31" s="192" t="str">
        <f t="shared" si="38"/>
        <v/>
      </c>
      <c r="AL31" s="248"/>
      <c r="AM31" s="33"/>
      <c r="AN31" s="284"/>
      <c r="AO31" s="284"/>
      <c r="AP31" s="284"/>
      <c r="AQ31" s="285"/>
      <c r="AR31" s="284"/>
      <c r="AS31" s="296"/>
      <c r="AT31" s="296"/>
      <c r="AU31" s="94"/>
      <c r="AV31" s="87"/>
      <c r="AW31" s="94"/>
      <c r="AX31" s="141"/>
      <c r="AY31" s="142"/>
      <c r="AZ31" s="145"/>
      <c r="BA31" s="48"/>
      <c r="BB31" s="402"/>
      <c r="BC31" s="17"/>
      <c r="BD31" s="17"/>
      <c r="BE31" s="17"/>
      <c r="BF31" s="17"/>
      <c r="BG31" s="17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CB31" s="10" t="s">
        <v>152</v>
      </c>
      <c r="CE31" s="10" t="s">
        <v>152</v>
      </c>
      <c r="CG31" s="10" t="s">
        <v>152</v>
      </c>
      <c r="CH31" s="10" t="s">
        <v>152</v>
      </c>
    </row>
    <row r="32" spans="2:86" s="10" customFormat="1">
      <c r="B32" s="250">
        <f t="shared" si="28"/>
        <v>43743</v>
      </c>
      <c r="C32" s="4">
        <v>0.91666666666666696</v>
      </c>
      <c r="D32" s="254"/>
      <c r="E32" s="256"/>
      <c r="F32" s="20"/>
      <c r="G32" s="261"/>
      <c r="H32" s="131"/>
      <c r="I32" s="315"/>
      <c r="J32" s="19"/>
      <c r="K32" s="19"/>
      <c r="L32" s="19"/>
      <c r="M32" s="153"/>
      <c r="N32" s="19"/>
      <c r="O32" s="19"/>
      <c r="P32" s="19"/>
      <c r="Q32" s="19"/>
      <c r="R32" s="19"/>
      <c r="S32" s="19"/>
      <c r="T32" s="19"/>
      <c r="U32" s="19"/>
      <c r="V32" s="286"/>
      <c r="W32" s="135" t="str">
        <f t="shared" si="39"/>
        <v/>
      </c>
      <c r="X32" s="77" t="str">
        <f t="shared" si="29"/>
        <v/>
      </c>
      <c r="Y32" s="60" t="str">
        <f t="shared" si="30"/>
        <v/>
      </c>
      <c r="Z32" s="60" t="str">
        <f t="shared" si="31"/>
        <v/>
      </c>
      <c r="AA32" s="60" t="str">
        <f t="shared" si="32"/>
        <v/>
      </c>
      <c r="AB32" s="136" t="str">
        <f t="shared" si="33"/>
        <v/>
      </c>
      <c r="AC32" s="136" t="str">
        <f t="shared" si="34"/>
        <v/>
      </c>
      <c r="AD32" s="60" t="str">
        <f t="shared" si="35"/>
        <v/>
      </c>
      <c r="AE32" s="60" t="str">
        <f t="shared" si="36"/>
        <v/>
      </c>
      <c r="AF32" s="60"/>
      <c r="AG32" s="60" t="str">
        <f t="shared" si="37"/>
        <v/>
      </c>
      <c r="AH32" s="60" t="str">
        <f t="shared" si="40"/>
        <v/>
      </c>
      <c r="AI32" s="190" t="str">
        <f t="shared" si="26"/>
        <v/>
      </c>
      <c r="AJ32" s="306">
        <v>59</v>
      </c>
      <c r="AK32" s="192" t="str">
        <f t="shared" si="38"/>
        <v/>
      </c>
      <c r="AL32" s="248"/>
      <c r="AM32" s="33"/>
      <c r="AN32" s="331"/>
      <c r="AO32" s="284"/>
      <c r="AP32" s="319"/>
      <c r="AQ32" s="111"/>
      <c r="AR32" s="284"/>
      <c r="AS32" s="296"/>
      <c r="AT32" s="296"/>
      <c r="AU32" s="94"/>
      <c r="AV32" s="87"/>
      <c r="AW32" s="94"/>
      <c r="AX32" s="141"/>
      <c r="AY32" s="142"/>
      <c r="AZ32" s="145"/>
      <c r="BA32" s="199"/>
      <c r="BB32" s="401"/>
      <c r="BC32" s="17"/>
      <c r="BD32" s="17"/>
      <c r="BE32" s="17"/>
      <c r="BF32" s="17"/>
      <c r="BG32" s="17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CB32" s="10" t="s">
        <v>152</v>
      </c>
      <c r="CE32" s="10" t="s">
        <v>152</v>
      </c>
      <c r="CG32" s="10" t="s">
        <v>152</v>
      </c>
      <c r="CH32" s="10" t="s">
        <v>152</v>
      </c>
    </row>
    <row r="33" spans="2:86" s="10" customFormat="1" ht="13.5" thickBot="1">
      <c r="B33" s="252">
        <f t="shared" si="28"/>
        <v>43743</v>
      </c>
      <c r="C33" s="253">
        <v>0.95833333333333304</v>
      </c>
      <c r="D33" s="380"/>
      <c r="E33" s="258"/>
      <c r="F33" s="363"/>
      <c r="G33" s="263"/>
      <c r="H33" s="37"/>
      <c r="I33" s="24"/>
      <c r="J33" s="24"/>
      <c r="K33" s="24"/>
      <c r="L33" s="24"/>
      <c r="M33" s="299"/>
      <c r="N33" s="24"/>
      <c r="O33" s="24"/>
      <c r="P33" s="24"/>
      <c r="Q33" s="24"/>
      <c r="R33" s="24"/>
      <c r="S33" s="24"/>
      <c r="T33" s="24"/>
      <c r="U33" s="24"/>
      <c r="V33" s="24"/>
      <c r="W33" s="167" t="str">
        <f t="shared" si="39"/>
        <v/>
      </c>
      <c r="X33" s="379" t="str">
        <f t="shared" si="29"/>
        <v/>
      </c>
      <c r="Y33" s="62" t="str">
        <f t="shared" si="30"/>
        <v/>
      </c>
      <c r="Z33" s="62" t="str">
        <f t="shared" si="31"/>
        <v/>
      </c>
      <c r="AA33" s="62" t="str">
        <f t="shared" si="32"/>
        <v/>
      </c>
      <c r="AB33" s="137" t="str">
        <f t="shared" si="33"/>
        <v/>
      </c>
      <c r="AC33" s="137" t="str">
        <f t="shared" si="34"/>
        <v/>
      </c>
      <c r="AD33" s="62" t="str">
        <f t="shared" si="35"/>
        <v/>
      </c>
      <c r="AE33" s="62" t="str">
        <f t="shared" si="36"/>
        <v/>
      </c>
      <c r="AF33" s="62"/>
      <c r="AG33" s="62" t="str">
        <f t="shared" si="37"/>
        <v/>
      </c>
      <c r="AH33" s="62" t="str">
        <f t="shared" si="40"/>
        <v/>
      </c>
      <c r="AI33" s="376" t="str">
        <f t="shared" si="26"/>
        <v/>
      </c>
      <c r="AJ33" s="359">
        <v>59</v>
      </c>
      <c r="AK33" s="377" t="str">
        <f t="shared" si="38"/>
        <v/>
      </c>
      <c r="AL33" s="223"/>
      <c r="AM33" s="33"/>
      <c r="AN33" s="247"/>
      <c r="AO33" s="330"/>
      <c r="AP33" s="284"/>
      <c r="AQ33" s="88"/>
      <c r="AR33" s="294"/>
      <c r="AS33" s="88"/>
      <c r="AT33" s="293"/>
      <c r="AU33" s="94"/>
      <c r="AV33" s="88"/>
      <c r="AW33" s="94"/>
      <c r="AX33" s="143"/>
      <c r="AY33" s="144"/>
      <c r="AZ33" s="180"/>
      <c r="BA33" s="49"/>
      <c r="BB33" s="404"/>
      <c r="BC33" s="166"/>
      <c r="BD33" s="166"/>
      <c r="BE33" s="166"/>
      <c r="BF33" s="166"/>
      <c r="BG33" s="166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CB33" s="10" t="s">
        <v>152</v>
      </c>
      <c r="CE33" s="10" t="s">
        <v>152</v>
      </c>
      <c r="CG33" s="10" t="s">
        <v>152</v>
      </c>
      <c r="CH33" s="10" t="s">
        <v>152</v>
      </c>
    </row>
    <row r="34" spans="2:86" ht="13.5" thickBot="1">
      <c r="X34" s="31"/>
      <c r="AJ34" s="31"/>
      <c r="AK34" s="31"/>
      <c r="AM34" s="33"/>
      <c r="AN34" s="75"/>
      <c r="AO34" s="75"/>
      <c r="AP34" s="75"/>
      <c r="AQ34" s="75"/>
      <c r="AR34" s="76"/>
      <c r="AS34" s="75"/>
      <c r="AT34" s="75"/>
    </row>
    <row r="35" spans="2:86">
      <c r="C35" s="32"/>
      <c r="F35" s="218"/>
      <c r="H35" s="218"/>
      <c r="I35"/>
      <c r="J35"/>
      <c r="K35"/>
      <c r="L35"/>
      <c r="M35"/>
      <c r="N35"/>
      <c r="O35"/>
      <c r="Q35"/>
      <c r="R35"/>
      <c r="S35"/>
      <c r="T35"/>
      <c r="W35" s="32"/>
      <c r="X35" s="31"/>
      <c r="Y35" s="30"/>
      <c r="Z35" s="30"/>
      <c r="AA35" s="30"/>
      <c r="AB35" s="30"/>
      <c r="AC35" s="30"/>
      <c r="AD35" s="30"/>
      <c r="AE35" s="30"/>
      <c r="AF35" s="30"/>
      <c r="AO35" s="31" t="s">
        <v>114</v>
      </c>
      <c r="BN35" s="74" t="s">
        <v>36</v>
      </c>
    </row>
    <row r="36" spans="2:86">
      <c r="F36" s="218"/>
      <c r="H36" s="218"/>
      <c r="I36"/>
      <c r="J36"/>
      <c r="K36"/>
      <c r="L36"/>
      <c r="M36"/>
      <c r="N36"/>
      <c r="O36"/>
      <c r="Q36"/>
      <c r="R36"/>
      <c r="S36"/>
      <c r="T36"/>
      <c r="W36" s="32"/>
      <c r="X36" s="31"/>
    </row>
    <row r="37" spans="2:86" ht="15">
      <c r="F37" s="218"/>
      <c r="H37" s="329"/>
      <c r="I37" s="219"/>
      <c r="J37"/>
      <c r="K37"/>
      <c r="L37" s="219"/>
      <c r="M37"/>
      <c r="N37"/>
      <c r="O37"/>
      <c r="Q37"/>
      <c r="R37"/>
      <c r="S37"/>
      <c r="T37"/>
      <c r="W37" s="32"/>
      <c r="X37" s="31"/>
      <c r="AV37" s="317"/>
      <c r="AW37" s="317"/>
      <c r="AX37" s="318"/>
      <c r="AY37" s="317"/>
      <c r="AZ37" s="317"/>
      <c r="BA37" s="317"/>
      <c r="BB37" s="317"/>
      <c r="BC37" s="317"/>
      <c r="BD37" s="317"/>
      <c r="BE37" s="317"/>
      <c r="BF37" s="317"/>
      <c r="BG37" s="317"/>
      <c r="BH37" s="317"/>
      <c r="BI37" s="317"/>
      <c r="BJ37" s="317"/>
      <c r="BK37" s="317"/>
      <c r="BL37" s="317"/>
      <c r="BM37" s="317"/>
      <c r="BN37" s="317"/>
      <c r="BO37" s="317"/>
      <c r="BP37" s="317"/>
      <c r="BQ37" s="317"/>
      <c r="BR37" s="317"/>
      <c r="BS37" s="317"/>
      <c r="BT37" s="317"/>
    </row>
    <row r="38" spans="2:86" ht="15">
      <c r="C38" s="2" t="s">
        <v>96</v>
      </c>
      <c r="F38" s="218"/>
      <c r="G38" s="219"/>
      <c r="H38" s="218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V38" s="317"/>
      <c r="AW38" s="317"/>
      <c r="AX38" s="318"/>
      <c r="AY38" s="317"/>
      <c r="AZ38" s="317"/>
      <c r="BA38" s="317"/>
      <c r="BB38" s="317"/>
      <c r="BC38" s="317"/>
      <c r="BD38" s="317"/>
      <c r="BE38" s="317"/>
      <c r="BF38" s="317"/>
      <c r="BG38" s="317"/>
      <c r="BH38" s="317"/>
      <c r="BI38" s="317"/>
      <c r="BJ38" s="317"/>
      <c r="BK38" s="317"/>
      <c r="BL38" s="317"/>
      <c r="BM38" s="317"/>
      <c r="BN38" s="317"/>
      <c r="BO38" s="317"/>
      <c r="BP38" s="317"/>
      <c r="BQ38" s="317"/>
      <c r="BR38" s="317"/>
      <c r="BS38" s="317"/>
      <c r="BT38" s="317"/>
    </row>
    <row r="39" spans="2:86" ht="15">
      <c r="F39" s="218"/>
      <c r="G39" s="219"/>
      <c r="H39" s="218"/>
      <c r="I39" s="219"/>
      <c r="J39" s="219"/>
      <c r="K39" s="219"/>
      <c r="L39" s="219"/>
      <c r="M39" s="373"/>
      <c r="N39" s="219"/>
      <c r="O39" s="219"/>
      <c r="P39" s="219"/>
      <c r="Q39" s="219"/>
      <c r="R39" s="219"/>
      <c r="S39" s="373"/>
      <c r="T39" s="219"/>
      <c r="U39" s="219"/>
      <c r="V39" s="219"/>
      <c r="W39" s="373"/>
      <c r="X39" s="219"/>
      <c r="Y39" s="219"/>
      <c r="Z39" s="219"/>
      <c r="AA39" s="219"/>
      <c r="AB39" s="219"/>
      <c r="AV39" s="317"/>
      <c r="AW39" s="317"/>
      <c r="AX39" s="318"/>
      <c r="AY39" s="317"/>
      <c r="AZ39" s="317"/>
      <c r="BA39" s="317"/>
      <c r="BB39" s="317"/>
      <c r="BC39" s="317"/>
      <c r="BD39" s="317"/>
      <c r="BE39" s="317"/>
      <c r="BF39" s="317"/>
      <c r="BG39" s="317"/>
      <c r="BH39" s="317"/>
      <c r="BI39" s="317"/>
      <c r="BJ39" s="317"/>
      <c r="BK39" s="317"/>
      <c r="BL39" s="317"/>
      <c r="BM39" s="317"/>
      <c r="BN39" s="317"/>
      <c r="BO39" s="317"/>
      <c r="BP39" s="317"/>
      <c r="BQ39" s="317"/>
      <c r="BR39" s="317"/>
      <c r="BS39" s="317"/>
      <c r="BT39" s="317"/>
    </row>
    <row r="40" spans="2:86" ht="15">
      <c r="F40" s="218"/>
      <c r="G40"/>
      <c r="H40" s="218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V40" s="317"/>
      <c r="AW40" s="317"/>
      <c r="AX40" s="318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</row>
    <row r="41" spans="2:86" ht="15">
      <c r="I41" s="31"/>
      <c r="J41" s="31"/>
      <c r="L41" s="31"/>
      <c r="M41" s="31"/>
      <c r="X41" s="31"/>
      <c r="AV41" s="317"/>
      <c r="AW41" s="317"/>
      <c r="AX41" s="318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  <c r="BL41" s="317"/>
      <c r="BM41" s="317"/>
      <c r="BN41" s="317"/>
      <c r="BO41" s="317"/>
      <c r="BP41" s="317"/>
      <c r="BQ41" s="317"/>
      <c r="BR41" s="317"/>
      <c r="BS41" s="317"/>
      <c r="BT41" s="317"/>
    </row>
    <row r="42" spans="2:86" ht="15">
      <c r="I42" s="31"/>
      <c r="J42" s="31"/>
      <c r="L42" s="31"/>
      <c r="M42" s="31"/>
      <c r="X42" s="31"/>
      <c r="AV42" s="317"/>
      <c r="AW42" s="317"/>
      <c r="AX42" s="318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  <c r="BT42" s="317"/>
    </row>
    <row r="43" spans="2:86" ht="15">
      <c r="I43" s="31"/>
      <c r="K43" s="30"/>
      <c r="N43" s="30"/>
      <c r="O43" s="30"/>
      <c r="P43" s="30"/>
      <c r="X43" s="31"/>
      <c r="AV43" s="317"/>
      <c r="AW43" s="317"/>
      <c r="AX43" s="318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  <c r="BL43" s="317"/>
      <c r="BM43" s="317"/>
      <c r="BN43" s="317"/>
      <c r="BO43" s="317"/>
      <c r="BP43" s="317"/>
      <c r="BQ43" s="317"/>
      <c r="BR43" s="317"/>
      <c r="BS43" s="317"/>
      <c r="BT43" s="317"/>
    </row>
    <row r="44" spans="2:86">
      <c r="I44" s="31"/>
      <c r="K44" s="30"/>
      <c r="N44" s="30"/>
      <c r="O44" s="30"/>
      <c r="P44" s="30"/>
      <c r="X44" s="31"/>
    </row>
    <row r="45" spans="2:86">
      <c r="I45" s="31"/>
      <c r="K45" s="30"/>
      <c r="N45" s="30"/>
      <c r="O45" s="30"/>
      <c r="P45" s="30"/>
      <c r="X45" s="31"/>
    </row>
    <row r="46" spans="2:86">
      <c r="I46" s="31"/>
      <c r="K46" s="30"/>
      <c r="N46" s="30"/>
      <c r="O46" s="30"/>
      <c r="P46" s="30"/>
      <c r="X46" s="31"/>
      <c r="Y46" s="31" t="s">
        <v>109</v>
      </c>
    </row>
    <row r="47" spans="2:86">
      <c r="I47" s="31"/>
      <c r="K47" s="30"/>
      <c r="N47" s="30"/>
      <c r="O47" s="30"/>
      <c r="P47" s="30"/>
      <c r="X47" s="31"/>
    </row>
    <row r="48" spans="2:86">
      <c r="I48" s="31"/>
      <c r="K48" s="30"/>
      <c r="N48" s="30"/>
      <c r="O48" s="30"/>
      <c r="P48" s="30"/>
      <c r="X48" s="31"/>
    </row>
    <row r="49" spans="9:24">
      <c r="I49" s="31"/>
      <c r="K49" s="30"/>
      <c r="N49" s="30"/>
      <c r="O49" s="30"/>
      <c r="P49" s="30"/>
      <c r="X49" s="31"/>
    </row>
    <row r="50" spans="9:24">
      <c r="I50" s="31"/>
      <c r="K50" s="30"/>
      <c r="N50" s="30"/>
      <c r="O50" s="30"/>
      <c r="P50" s="30"/>
      <c r="X50" s="31"/>
    </row>
    <row r="51" spans="9:24">
      <c r="I51" s="31"/>
      <c r="K51" s="30"/>
      <c r="N51" s="30"/>
      <c r="O51" s="30"/>
      <c r="P51" s="30"/>
      <c r="X51" s="31"/>
    </row>
    <row r="52" spans="9:24">
      <c r="I52" s="31"/>
      <c r="K52" s="30"/>
      <c r="N52" s="30"/>
      <c r="O52" s="30"/>
      <c r="P52" s="30"/>
      <c r="X52" s="31"/>
    </row>
    <row r="53" spans="9:24">
      <c r="I53" s="31"/>
      <c r="K53" s="30"/>
      <c r="N53" s="30"/>
      <c r="O53" s="30"/>
      <c r="P53" s="30"/>
      <c r="X53" s="31"/>
    </row>
    <row r="54" spans="9:24">
      <c r="I54" s="31"/>
      <c r="K54" s="30"/>
      <c r="N54" s="30"/>
      <c r="O54" s="30"/>
      <c r="P54" s="30"/>
      <c r="X54" s="31"/>
    </row>
    <row r="55" spans="9:24">
      <c r="I55" s="31"/>
      <c r="K55" s="30"/>
      <c r="N55" s="30"/>
      <c r="O55" s="30"/>
      <c r="P55" s="30"/>
      <c r="X55" s="31"/>
    </row>
    <row r="56" spans="9:24">
      <c r="I56" s="31"/>
      <c r="K56" s="30"/>
      <c r="N56" s="30"/>
      <c r="O56" s="30"/>
      <c r="P56" s="30"/>
      <c r="X56" s="31"/>
    </row>
    <row r="57" spans="9:24">
      <c r="I57" s="31"/>
      <c r="K57" s="30"/>
      <c r="N57" s="30"/>
      <c r="O57" s="30"/>
      <c r="P57" s="30"/>
      <c r="X57" s="31"/>
    </row>
    <row r="58" spans="9:24">
      <c r="X58" s="31"/>
    </row>
    <row r="59" spans="9:24">
      <c r="X59" s="31"/>
    </row>
    <row r="60" spans="9:24">
      <c r="X60" s="31"/>
    </row>
    <row r="61" spans="9:24">
      <c r="X61" s="31"/>
    </row>
    <row r="62" spans="9:24">
      <c r="X62" s="31"/>
    </row>
    <row r="63" spans="9:24">
      <c r="X63" s="31"/>
    </row>
    <row r="64" spans="9:24">
      <c r="X64" s="31"/>
    </row>
    <row r="65" spans="24:24">
      <c r="X65" s="31"/>
    </row>
    <row r="66" spans="24:24">
      <c r="X66" s="31"/>
    </row>
    <row r="67" spans="24:24">
      <c r="X67" s="31"/>
    </row>
    <row r="68" spans="24:24">
      <c r="X68" s="31"/>
    </row>
    <row r="69" spans="24:24">
      <c r="X69" s="31"/>
    </row>
    <row r="70" spans="24:24">
      <c r="X70" s="31"/>
    </row>
    <row r="71" spans="24:24">
      <c r="X71" s="31"/>
    </row>
    <row r="72" spans="24:24">
      <c r="X72" s="31"/>
    </row>
    <row r="73" spans="24:24">
      <c r="X73" s="31"/>
    </row>
    <row r="74" spans="24:24">
      <c r="X74" s="31"/>
    </row>
    <row r="75" spans="24:24">
      <c r="X75" s="31"/>
    </row>
    <row r="76" spans="24:24">
      <c r="X76" s="31"/>
    </row>
    <row r="77" spans="24:24">
      <c r="X77" s="31"/>
    </row>
    <row r="78" spans="24:24">
      <c r="X78" s="31"/>
    </row>
    <row r="79" spans="24:24">
      <c r="X79" s="31"/>
    </row>
    <row r="80" spans="24:24">
      <c r="X80" s="31"/>
    </row>
    <row r="81" spans="24:24">
      <c r="X81" s="31"/>
    </row>
    <row r="82" spans="24:24">
      <c r="X82" s="31"/>
    </row>
    <row r="83" spans="24:24">
      <c r="X83" s="31"/>
    </row>
    <row r="84" spans="24:24">
      <c r="X84" s="31"/>
    </row>
    <row r="85" spans="24:24">
      <c r="X85" s="31"/>
    </row>
    <row r="86" spans="24:24">
      <c r="X86" s="31"/>
    </row>
    <row r="87" spans="24:24">
      <c r="X87" s="31"/>
    </row>
    <row r="88" spans="24:24">
      <c r="X88" s="31"/>
    </row>
    <row r="89" spans="24:24">
      <c r="X89" s="31"/>
    </row>
    <row r="90" spans="24:24">
      <c r="X90" s="31"/>
    </row>
    <row r="91" spans="24:24">
      <c r="X91" s="31"/>
    </row>
    <row r="92" spans="24:24">
      <c r="X92" s="31"/>
    </row>
    <row r="93" spans="24:24">
      <c r="X93" s="31"/>
    </row>
    <row r="94" spans="24:24">
      <c r="X94" s="31"/>
    </row>
    <row r="95" spans="24:24">
      <c r="X95" s="31"/>
    </row>
    <row r="96" spans="24:24">
      <c r="X96" s="31"/>
    </row>
    <row r="97" spans="24:24">
      <c r="X97" s="31"/>
    </row>
    <row r="98" spans="24:24">
      <c r="X98" s="31"/>
    </row>
    <row r="99" spans="24:24">
      <c r="X99" s="31"/>
    </row>
    <row r="100" spans="24:24">
      <c r="X100" s="31"/>
    </row>
    <row r="101" spans="24:24">
      <c r="X101" s="31"/>
    </row>
    <row r="102" spans="24:24">
      <c r="X102" s="31"/>
    </row>
    <row r="103" spans="24:24">
      <c r="X103" s="31"/>
    </row>
    <row r="104" spans="24:24">
      <c r="X104" s="31"/>
    </row>
    <row r="105" spans="24:24">
      <c r="X105" s="31"/>
    </row>
    <row r="106" spans="24:24">
      <c r="X106" s="31"/>
    </row>
    <row r="107" spans="24:24">
      <c r="X107" s="31"/>
    </row>
    <row r="108" spans="24:24">
      <c r="X108" s="31"/>
    </row>
    <row r="109" spans="24:24">
      <c r="X109" s="31"/>
    </row>
    <row r="110" spans="24:24">
      <c r="X110" s="31"/>
    </row>
    <row r="111" spans="24:24">
      <c r="X111" s="31"/>
    </row>
    <row r="112" spans="24:24">
      <c r="X112" s="31"/>
    </row>
    <row r="113" spans="24:24">
      <c r="X113" s="31"/>
    </row>
    <row r="114" spans="24:24">
      <c r="X114" s="31"/>
    </row>
    <row r="115" spans="24:24">
      <c r="X115" s="31"/>
    </row>
    <row r="116" spans="24:24">
      <c r="X116" s="31"/>
    </row>
    <row r="117" spans="24:24">
      <c r="X117" s="31"/>
    </row>
    <row r="118" spans="24:24">
      <c r="X118" s="31"/>
    </row>
    <row r="119" spans="24:24">
      <c r="X119" s="31"/>
    </row>
    <row r="120" spans="24:24">
      <c r="X120" s="31"/>
    </row>
    <row r="121" spans="24:24">
      <c r="X121" s="31"/>
    </row>
    <row r="122" spans="24:24">
      <c r="X122" s="31"/>
    </row>
    <row r="123" spans="24:24">
      <c r="X123" s="31"/>
    </row>
    <row r="124" spans="24:24">
      <c r="X124" s="31"/>
    </row>
    <row r="125" spans="24:24">
      <c r="X125" s="31"/>
    </row>
    <row r="126" spans="24:24">
      <c r="X126" s="31"/>
    </row>
    <row r="127" spans="24:24">
      <c r="X127" s="31"/>
    </row>
    <row r="128" spans="24:24">
      <c r="X128" s="31"/>
    </row>
    <row r="129" spans="24:24">
      <c r="X129" s="31"/>
    </row>
    <row r="130" spans="24:24">
      <c r="X130" s="31"/>
    </row>
    <row r="131" spans="24:24">
      <c r="X131" s="31"/>
    </row>
    <row r="132" spans="24:24">
      <c r="X132" s="31"/>
    </row>
    <row r="133" spans="24:24">
      <c r="X133" s="31"/>
    </row>
    <row r="134" spans="24:24">
      <c r="X134" s="31"/>
    </row>
    <row r="135" spans="24:24">
      <c r="X135" s="31"/>
    </row>
    <row r="136" spans="24:24">
      <c r="X136" s="31"/>
    </row>
    <row r="137" spans="24:24">
      <c r="X137" s="31"/>
    </row>
    <row r="138" spans="24:24">
      <c r="X138" s="31"/>
    </row>
    <row r="139" spans="24:24">
      <c r="X139" s="31"/>
    </row>
    <row r="140" spans="24:24">
      <c r="X140" s="31"/>
    </row>
    <row r="141" spans="24:24">
      <c r="X141" s="31"/>
    </row>
    <row r="142" spans="24:24">
      <c r="X142" s="31"/>
    </row>
    <row r="143" spans="24:24">
      <c r="X143" s="31"/>
    </row>
    <row r="144" spans="24:24">
      <c r="X144" s="31"/>
    </row>
    <row r="145" spans="11:24">
      <c r="X145" s="31"/>
    </row>
    <row r="146" spans="11:24">
      <c r="X146" s="31"/>
    </row>
    <row r="147" spans="11:24">
      <c r="K147" s="197" t="s">
        <v>92</v>
      </c>
      <c r="X147" s="31"/>
    </row>
    <row r="148" spans="11:24">
      <c r="X148" s="31"/>
    </row>
    <row r="149" spans="11:24">
      <c r="X149" s="31"/>
    </row>
    <row r="150" spans="11:24">
      <c r="X150" s="31"/>
    </row>
    <row r="151" spans="11:24">
      <c r="X151" s="31"/>
    </row>
    <row r="152" spans="11:24">
      <c r="X152" s="31"/>
    </row>
    <row r="153" spans="11:24">
      <c r="X153" s="31"/>
    </row>
    <row r="154" spans="11:24">
      <c r="X154" s="31"/>
    </row>
    <row r="155" spans="11:24">
      <c r="X155" s="31"/>
    </row>
    <row r="156" spans="11:24">
      <c r="X156" s="31"/>
    </row>
    <row r="157" spans="11:24">
      <c r="X157" s="31"/>
    </row>
    <row r="158" spans="11:24">
      <c r="X158" s="31"/>
    </row>
    <row r="159" spans="11:24">
      <c r="X159" s="31"/>
    </row>
    <row r="160" spans="11:24">
      <c r="X160" s="31"/>
    </row>
    <row r="161" spans="24:24">
      <c r="X161" s="31"/>
    </row>
    <row r="162" spans="24:24">
      <c r="X162" s="31"/>
    </row>
    <row r="163" spans="24:24">
      <c r="X163" s="31"/>
    </row>
    <row r="164" spans="24:24">
      <c r="X164" s="31"/>
    </row>
    <row r="165" spans="24:24">
      <c r="X165" s="31"/>
    </row>
    <row r="166" spans="24:24">
      <c r="X166" s="31"/>
    </row>
    <row r="167" spans="24:24">
      <c r="X167" s="31"/>
    </row>
    <row r="168" spans="24:24">
      <c r="X168" s="31"/>
    </row>
    <row r="169" spans="24:24">
      <c r="X169" s="31"/>
    </row>
    <row r="170" spans="24:24">
      <c r="X170" s="31"/>
    </row>
    <row r="171" spans="24:24">
      <c r="X171" s="31"/>
    </row>
    <row r="172" spans="24:24">
      <c r="X172" s="31"/>
    </row>
    <row r="173" spans="24:24">
      <c r="X173" s="31"/>
    </row>
    <row r="174" spans="24:24">
      <c r="X174" s="31"/>
    </row>
    <row r="175" spans="24:24">
      <c r="X175" s="31"/>
    </row>
    <row r="176" spans="24:24">
      <c r="X176" s="31"/>
    </row>
    <row r="177" spans="24:24">
      <c r="X177" s="31"/>
    </row>
    <row r="178" spans="24:24">
      <c r="X178" s="31"/>
    </row>
    <row r="179" spans="24:24">
      <c r="X179" s="31"/>
    </row>
    <row r="180" spans="24:24">
      <c r="X180" s="31"/>
    </row>
    <row r="181" spans="24:24">
      <c r="X181" s="31"/>
    </row>
    <row r="182" spans="24:24">
      <c r="X182" s="31"/>
    </row>
    <row r="183" spans="24:24">
      <c r="X183" s="31"/>
    </row>
    <row r="184" spans="24:24">
      <c r="X184" s="31"/>
    </row>
    <row r="185" spans="24:24">
      <c r="X185" s="31"/>
    </row>
    <row r="186" spans="24:24">
      <c r="X186" s="31"/>
    </row>
    <row r="187" spans="24:24">
      <c r="X187" s="31"/>
    </row>
    <row r="188" spans="24:24">
      <c r="X188" s="31"/>
    </row>
    <row r="189" spans="24:24">
      <c r="X189" s="31"/>
    </row>
    <row r="190" spans="24:24">
      <c r="X190" s="31"/>
    </row>
    <row r="191" spans="24:24">
      <c r="X191" s="31"/>
    </row>
    <row r="192" spans="24:24">
      <c r="X192" s="31"/>
    </row>
    <row r="193" spans="24:24">
      <c r="X193" s="31"/>
    </row>
    <row r="194" spans="24:24">
      <c r="X194" s="31"/>
    </row>
    <row r="195" spans="24:24">
      <c r="X195" s="31"/>
    </row>
    <row r="196" spans="24:24">
      <c r="X196" s="31"/>
    </row>
    <row r="197" spans="24:24">
      <c r="X197" s="31"/>
    </row>
    <row r="198" spans="24:24">
      <c r="X198" s="31"/>
    </row>
    <row r="199" spans="24:24">
      <c r="X199" s="31"/>
    </row>
    <row r="200" spans="24:24">
      <c r="X200" s="31"/>
    </row>
    <row r="201" spans="24:24">
      <c r="X201" s="31"/>
    </row>
    <row r="202" spans="24:24">
      <c r="X202" s="31"/>
    </row>
    <row r="203" spans="24:24">
      <c r="X203" s="31"/>
    </row>
    <row r="204" spans="24:24">
      <c r="X204" s="31"/>
    </row>
    <row r="205" spans="24:24">
      <c r="X205" s="31"/>
    </row>
    <row r="206" spans="24:24">
      <c r="X206" s="31"/>
    </row>
    <row r="207" spans="24:24">
      <c r="X207" s="31"/>
    </row>
    <row r="208" spans="24:24">
      <c r="X208" s="31"/>
    </row>
    <row r="209" spans="24:24">
      <c r="X209" s="31"/>
    </row>
    <row r="210" spans="24:24">
      <c r="X210" s="31"/>
    </row>
    <row r="211" spans="24:24">
      <c r="X211" s="31"/>
    </row>
    <row r="212" spans="24:24">
      <c r="X212" s="31"/>
    </row>
    <row r="213" spans="24:24">
      <c r="X213" s="31"/>
    </row>
    <row r="214" spans="24:24">
      <c r="X214" s="31"/>
    </row>
    <row r="215" spans="24:24">
      <c r="X215" s="31"/>
    </row>
    <row r="216" spans="24:24">
      <c r="X216" s="31"/>
    </row>
    <row r="217" spans="24:24">
      <c r="X217" s="31"/>
    </row>
    <row r="218" spans="24:24">
      <c r="X218" s="31"/>
    </row>
    <row r="219" spans="24:24">
      <c r="X219" s="31"/>
    </row>
    <row r="220" spans="24:24">
      <c r="X220" s="31"/>
    </row>
    <row r="221" spans="24:24">
      <c r="X221" s="31"/>
    </row>
    <row r="222" spans="24:24">
      <c r="X222" s="31"/>
    </row>
    <row r="223" spans="24:24">
      <c r="X223" s="31"/>
    </row>
    <row r="224" spans="24:24">
      <c r="X224" s="31"/>
    </row>
    <row r="225" spans="24:24">
      <c r="X225" s="31"/>
    </row>
    <row r="226" spans="24:24">
      <c r="X226" s="31"/>
    </row>
    <row r="227" spans="24:24">
      <c r="X227" s="31"/>
    </row>
    <row r="228" spans="24:24">
      <c r="X228" s="31"/>
    </row>
    <row r="229" spans="24:24">
      <c r="X229" s="31"/>
    </row>
    <row r="230" spans="24:24">
      <c r="X230" s="31"/>
    </row>
    <row r="231" spans="24:24">
      <c r="X231" s="31"/>
    </row>
    <row r="232" spans="24:24">
      <c r="X232" s="31"/>
    </row>
    <row r="233" spans="24:24">
      <c r="X233" s="31"/>
    </row>
    <row r="234" spans="24:24">
      <c r="X234" s="31"/>
    </row>
    <row r="235" spans="24:24">
      <c r="X235" s="31"/>
    </row>
    <row r="236" spans="24:24">
      <c r="X236" s="31"/>
    </row>
    <row r="237" spans="24:24">
      <c r="X237" s="31"/>
    </row>
    <row r="238" spans="24:24">
      <c r="X238" s="31"/>
    </row>
    <row r="239" spans="24:24">
      <c r="X239" s="31"/>
    </row>
    <row r="240" spans="24:24">
      <c r="X240" s="31"/>
    </row>
    <row r="241" spans="24:24">
      <c r="X241" s="31"/>
    </row>
    <row r="242" spans="24:24">
      <c r="X242" s="31"/>
    </row>
    <row r="243" spans="24:24">
      <c r="X243" s="31"/>
    </row>
    <row r="244" spans="24:24">
      <c r="X244" s="31"/>
    </row>
    <row r="245" spans="24:24">
      <c r="X245" s="31"/>
    </row>
    <row r="246" spans="24:24">
      <c r="X246" s="31"/>
    </row>
    <row r="247" spans="24:24">
      <c r="X247" s="31"/>
    </row>
    <row r="248" spans="24:24">
      <c r="X248" s="31"/>
    </row>
    <row r="249" spans="24:24">
      <c r="X249" s="31"/>
    </row>
    <row r="250" spans="24:24">
      <c r="X250" s="31"/>
    </row>
    <row r="251" spans="24:24">
      <c r="X251" s="31"/>
    </row>
    <row r="252" spans="24:24">
      <c r="X252" s="31"/>
    </row>
    <row r="253" spans="24:24">
      <c r="X253" s="31"/>
    </row>
    <row r="254" spans="24:24">
      <c r="X254" s="31"/>
    </row>
    <row r="255" spans="24:24">
      <c r="X255" s="31"/>
    </row>
    <row r="256" spans="24:24">
      <c r="X256" s="31"/>
    </row>
    <row r="257" spans="24:24">
      <c r="X257" s="31"/>
    </row>
    <row r="258" spans="24:24">
      <c r="X258" s="31"/>
    </row>
    <row r="259" spans="24:24">
      <c r="X259" s="31"/>
    </row>
    <row r="260" spans="24:24">
      <c r="X260" s="31"/>
    </row>
    <row r="261" spans="24:24">
      <c r="X261" s="31"/>
    </row>
    <row r="262" spans="24:24">
      <c r="X262" s="31"/>
    </row>
    <row r="263" spans="24:24">
      <c r="X263" s="31"/>
    </row>
    <row r="264" spans="24:24">
      <c r="X264" s="31"/>
    </row>
    <row r="265" spans="24:24">
      <c r="X265" s="31"/>
    </row>
    <row r="266" spans="24:24">
      <c r="X266" s="31"/>
    </row>
    <row r="267" spans="24:24">
      <c r="X267" s="31"/>
    </row>
    <row r="268" spans="24:24">
      <c r="X268" s="31"/>
    </row>
    <row r="269" spans="24:24">
      <c r="X269" s="31"/>
    </row>
    <row r="270" spans="24:24">
      <c r="X270" s="31"/>
    </row>
    <row r="271" spans="24:24">
      <c r="X271" s="31"/>
    </row>
    <row r="272" spans="24:24">
      <c r="X272" s="31"/>
    </row>
    <row r="273" spans="24:24">
      <c r="X273" s="31"/>
    </row>
    <row r="274" spans="24:24">
      <c r="X274" s="31"/>
    </row>
    <row r="275" spans="24:24">
      <c r="X275" s="31"/>
    </row>
    <row r="276" spans="24:24">
      <c r="X276" s="31"/>
    </row>
    <row r="277" spans="24:24">
      <c r="X277" s="31"/>
    </row>
    <row r="278" spans="24:24">
      <c r="X278" s="31"/>
    </row>
    <row r="279" spans="24:24">
      <c r="X279" s="31"/>
    </row>
    <row r="280" spans="24:24">
      <c r="X280" s="31"/>
    </row>
    <row r="281" spans="24:24">
      <c r="X281" s="31"/>
    </row>
    <row r="282" spans="24:24">
      <c r="X282" s="31"/>
    </row>
    <row r="283" spans="24:24">
      <c r="X283" s="31"/>
    </row>
    <row r="284" spans="24:24">
      <c r="X284" s="31"/>
    </row>
    <row r="285" spans="24:24">
      <c r="X285" s="31"/>
    </row>
    <row r="286" spans="24:24">
      <c r="X286" s="31"/>
    </row>
    <row r="287" spans="24:24">
      <c r="X287" s="31"/>
    </row>
    <row r="288" spans="24:24">
      <c r="X288" s="31"/>
    </row>
    <row r="289" spans="24:24">
      <c r="X289" s="31"/>
    </row>
    <row r="290" spans="24:24">
      <c r="X290" s="31"/>
    </row>
    <row r="291" spans="24:24">
      <c r="X291" s="31"/>
    </row>
    <row r="292" spans="24:24">
      <c r="X292" s="31"/>
    </row>
    <row r="293" spans="24:24">
      <c r="X293" s="31"/>
    </row>
    <row r="294" spans="24:24">
      <c r="X294" s="31"/>
    </row>
    <row r="295" spans="24:24">
      <c r="X295" s="31"/>
    </row>
    <row r="296" spans="24:24">
      <c r="X296" s="31"/>
    </row>
    <row r="297" spans="24:24">
      <c r="X297" s="31"/>
    </row>
    <row r="298" spans="24:24">
      <c r="X298" s="31"/>
    </row>
    <row r="299" spans="24:24">
      <c r="X299" s="31"/>
    </row>
    <row r="300" spans="24:24">
      <c r="X300" s="31"/>
    </row>
    <row r="301" spans="24:24">
      <c r="X301" s="31"/>
    </row>
    <row r="302" spans="24:24">
      <c r="X302" s="31"/>
    </row>
    <row r="303" spans="24:24">
      <c r="X303" s="31"/>
    </row>
    <row r="304" spans="24:24">
      <c r="X304" s="31"/>
    </row>
    <row r="305" spans="24:24">
      <c r="X305" s="31"/>
    </row>
    <row r="306" spans="24:24">
      <c r="X306" s="31"/>
    </row>
    <row r="307" spans="24:24">
      <c r="X307" s="31"/>
    </row>
    <row r="308" spans="24:24">
      <c r="X308" s="31"/>
    </row>
    <row r="309" spans="24:24">
      <c r="X309" s="31"/>
    </row>
    <row r="310" spans="24:24">
      <c r="X310" s="31"/>
    </row>
    <row r="311" spans="24:24">
      <c r="X311" s="31"/>
    </row>
    <row r="312" spans="24:24">
      <c r="X312" s="31"/>
    </row>
    <row r="313" spans="24:24">
      <c r="X313" s="31"/>
    </row>
    <row r="314" spans="24:24">
      <c r="X314" s="31"/>
    </row>
    <row r="315" spans="24:24">
      <c r="X315" s="31"/>
    </row>
    <row r="316" spans="24:24">
      <c r="X316" s="31"/>
    </row>
    <row r="317" spans="24:24">
      <c r="X317" s="31"/>
    </row>
    <row r="318" spans="24:24">
      <c r="X318" s="31"/>
    </row>
    <row r="319" spans="24:24">
      <c r="X319" s="31"/>
    </row>
    <row r="320" spans="24:24">
      <c r="X320" s="31"/>
    </row>
    <row r="321" spans="24:24">
      <c r="X321" s="31"/>
    </row>
    <row r="322" spans="24:24">
      <c r="X322" s="31"/>
    </row>
    <row r="323" spans="24:24">
      <c r="X323" s="31"/>
    </row>
    <row r="324" spans="24:24">
      <c r="X324" s="31"/>
    </row>
    <row r="325" spans="24:24">
      <c r="X325" s="31"/>
    </row>
    <row r="326" spans="24:24">
      <c r="X326" s="31"/>
    </row>
    <row r="327" spans="24:24">
      <c r="X327" s="31"/>
    </row>
    <row r="328" spans="24:24">
      <c r="X328" s="31"/>
    </row>
    <row r="329" spans="24:24">
      <c r="X329" s="31"/>
    </row>
    <row r="330" spans="24:24">
      <c r="X330" s="31"/>
    </row>
    <row r="331" spans="24:24">
      <c r="X331" s="31"/>
    </row>
    <row r="332" spans="24:24">
      <c r="X332" s="31"/>
    </row>
    <row r="333" spans="24:24">
      <c r="X333" s="31"/>
    </row>
    <row r="334" spans="24:24">
      <c r="X334" s="31"/>
    </row>
    <row r="335" spans="24:24">
      <c r="X335" s="31"/>
    </row>
    <row r="336" spans="24:24">
      <c r="X336" s="31"/>
    </row>
    <row r="337" spans="24:24">
      <c r="X337" s="31"/>
    </row>
    <row r="338" spans="24:24">
      <c r="X338" s="31"/>
    </row>
    <row r="339" spans="24:24">
      <c r="X339" s="31"/>
    </row>
    <row r="340" spans="24:24">
      <c r="X340" s="31"/>
    </row>
    <row r="341" spans="24:24">
      <c r="X341" s="31"/>
    </row>
    <row r="342" spans="24:24">
      <c r="X342" s="31"/>
    </row>
    <row r="343" spans="24:24">
      <c r="X343" s="31"/>
    </row>
    <row r="344" spans="24:24">
      <c r="X344" s="31"/>
    </row>
    <row r="345" spans="24:24">
      <c r="X345" s="31"/>
    </row>
    <row r="346" spans="24:24">
      <c r="X346" s="31"/>
    </row>
    <row r="347" spans="24:24">
      <c r="X347" s="31"/>
    </row>
    <row r="348" spans="24:24">
      <c r="X348" s="31"/>
    </row>
    <row r="349" spans="24:24">
      <c r="X349" s="31"/>
    </row>
    <row r="350" spans="24:24">
      <c r="X350" s="31"/>
    </row>
    <row r="351" spans="24:24">
      <c r="X351" s="31"/>
    </row>
    <row r="352" spans="24:24">
      <c r="X352" s="31"/>
    </row>
    <row r="353" spans="24:24">
      <c r="X353" s="31"/>
    </row>
    <row r="354" spans="24:24">
      <c r="X354" s="31"/>
    </row>
    <row r="355" spans="24:24">
      <c r="X355" s="31"/>
    </row>
    <row r="356" spans="24:24">
      <c r="X356" s="31"/>
    </row>
    <row r="357" spans="24:24">
      <c r="X357" s="31"/>
    </row>
    <row r="358" spans="24:24">
      <c r="X358" s="31"/>
    </row>
    <row r="359" spans="24:24">
      <c r="X359" s="31"/>
    </row>
    <row r="360" spans="24:24">
      <c r="X360" s="31"/>
    </row>
    <row r="361" spans="24:24">
      <c r="X361" s="31"/>
    </row>
    <row r="362" spans="24:24">
      <c r="X362" s="31"/>
    </row>
    <row r="363" spans="24:24">
      <c r="X363" s="31"/>
    </row>
    <row r="364" spans="24:24">
      <c r="X364" s="31"/>
    </row>
    <row r="365" spans="24:24">
      <c r="X365" s="31"/>
    </row>
    <row r="366" spans="24:24">
      <c r="X366" s="31"/>
    </row>
    <row r="367" spans="24:24">
      <c r="X367" s="31"/>
    </row>
    <row r="368" spans="24:24">
      <c r="X368" s="31"/>
    </row>
    <row r="369" spans="24:24">
      <c r="X369" s="31"/>
    </row>
    <row r="370" spans="24:24">
      <c r="X370" s="31"/>
    </row>
    <row r="371" spans="24:24">
      <c r="X371" s="31"/>
    </row>
    <row r="372" spans="24:24">
      <c r="X372" s="31"/>
    </row>
    <row r="373" spans="24:24">
      <c r="X373" s="31"/>
    </row>
    <row r="374" spans="24:24">
      <c r="X374" s="31"/>
    </row>
    <row r="375" spans="24:24">
      <c r="X375" s="31"/>
    </row>
    <row r="376" spans="24:24">
      <c r="X376" s="31"/>
    </row>
    <row r="377" spans="24:24">
      <c r="X377" s="31"/>
    </row>
    <row r="378" spans="24:24">
      <c r="X378" s="31"/>
    </row>
    <row r="379" spans="24:24">
      <c r="X379" s="31"/>
    </row>
    <row r="380" spans="24:24">
      <c r="X380" s="31"/>
    </row>
    <row r="381" spans="24:24">
      <c r="X381" s="31"/>
    </row>
    <row r="382" spans="24:24">
      <c r="X382" s="31"/>
    </row>
    <row r="383" spans="24:24">
      <c r="X383" s="31"/>
    </row>
    <row r="384" spans="24:24">
      <c r="X384" s="31"/>
    </row>
    <row r="385" spans="24:24">
      <c r="X385" s="31"/>
    </row>
    <row r="386" spans="24:24">
      <c r="X386" s="31"/>
    </row>
    <row r="387" spans="24:24">
      <c r="X387" s="31"/>
    </row>
    <row r="388" spans="24:24">
      <c r="X388" s="31"/>
    </row>
    <row r="389" spans="24:24">
      <c r="X389" s="31"/>
    </row>
    <row r="390" spans="24:24">
      <c r="X390" s="31"/>
    </row>
    <row r="391" spans="24:24">
      <c r="X391" s="31"/>
    </row>
    <row r="392" spans="24:24">
      <c r="X392" s="31"/>
    </row>
    <row r="393" spans="24:24">
      <c r="X393" s="31"/>
    </row>
    <row r="394" spans="24:24">
      <c r="X394" s="31"/>
    </row>
    <row r="395" spans="24:24">
      <c r="X395" s="31"/>
    </row>
    <row r="396" spans="24:24">
      <c r="X396" s="31"/>
    </row>
    <row r="397" spans="24:24">
      <c r="X397" s="31"/>
    </row>
    <row r="398" spans="24:24">
      <c r="X398" s="31"/>
    </row>
    <row r="399" spans="24:24">
      <c r="X399" s="31"/>
    </row>
    <row r="400" spans="24:24">
      <c r="X400" s="31"/>
    </row>
    <row r="401" spans="24:24">
      <c r="X401" s="31"/>
    </row>
    <row r="402" spans="24:24">
      <c r="X402" s="31"/>
    </row>
    <row r="403" spans="24:24">
      <c r="X403" s="31"/>
    </row>
    <row r="404" spans="24:24">
      <c r="X404" s="31"/>
    </row>
    <row r="405" spans="24:24">
      <c r="X405" s="31"/>
    </row>
    <row r="406" spans="24:24">
      <c r="X406" s="31"/>
    </row>
    <row r="407" spans="24:24">
      <c r="X407" s="31"/>
    </row>
    <row r="408" spans="24:24">
      <c r="X408" s="31"/>
    </row>
    <row r="409" spans="24:24">
      <c r="X409" s="31"/>
    </row>
    <row r="410" spans="24:24">
      <c r="X410" s="31"/>
    </row>
    <row r="411" spans="24:24">
      <c r="X411" s="31"/>
    </row>
    <row r="412" spans="24:24">
      <c r="X412" s="31"/>
    </row>
    <row r="413" spans="24:24">
      <c r="X413" s="31"/>
    </row>
    <row r="414" spans="24:24">
      <c r="X414" s="31"/>
    </row>
    <row r="415" spans="24:24">
      <c r="X415" s="31"/>
    </row>
    <row r="416" spans="24:24">
      <c r="X416" s="31"/>
    </row>
    <row r="417" spans="24:24">
      <c r="X417" s="31"/>
    </row>
    <row r="418" spans="24:24">
      <c r="X418" s="31"/>
    </row>
    <row r="419" spans="24:24">
      <c r="X419" s="31"/>
    </row>
    <row r="420" spans="24:24">
      <c r="X420" s="31"/>
    </row>
    <row r="421" spans="24:24">
      <c r="X421" s="31"/>
    </row>
    <row r="422" spans="24:24">
      <c r="X422" s="31"/>
    </row>
    <row r="423" spans="24:24">
      <c r="X423" s="31"/>
    </row>
    <row r="424" spans="24:24">
      <c r="X424" s="31"/>
    </row>
    <row r="425" spans="24:24">
      <c r="X425" s="31"/>
    </row>
    <row r="426" spans="24:24">
      <c r="X426" s="31"/>
    </row>
    <row r="427" spans="24:24">
      <c r="X427" s="31"/>
    </row>
    <row r="428" spans="24:24">
      <c r="X428" s="31"/>
    </row>
    <row r="429" spans="24:24">
      <c r="X429" s="31"/>
    </row>
    <row r="430" spans="24:24">
      <c r="X430" s="31"/>
    </row>
    <row r="431" spans="24:24">
      <c r="X431" s="31"/>
    </row>
    <row r="432" spans="24:24">
      <c r="X432" s="31"/>
    </row>
    <row r="433" spans="24:24">
      <c r="X433" s="31"/>
    </row>
    <row r="434" spans="24:24">
      <c r="X434" s="31"/>
    </row>
    <row r="435" spans="24:24">
      <c r="X435" s="31"/>
    </row>
    <row r="436" spans="24:24">
      <c r="X436" s="31"/>
    </row>
    <row r="437" spans="24:24">
      <c r="X437" s="31"/>
    </row>
    <row r="438" spans="24:24">
      <c r="X438" s="31"/>
    </row>
    <row r="439" spans="24:24">
      <c r="X439" s="31"/>
    </row>
    <row r="440" spans="24:24">
      <c r="X440" s="31"/>
    </row>
    <row r="441" spans="24:24">
      <c r="X441" s="31"/>
    </row>
    <row r="442" spans="24:24">
      <c r="X442" s="31"/>
    </row>
    <row r="443" spans="24:24">
      <c r="X443" s="31"/>
    </row>
    <row r="444" spans="24:24">
      <c r="X444" s="31"/>
    </row>
    <row r="445" spans="24:24">
      <c r="X445" s="31"/>
    </row>
    <row r="446" spans="24:24">
      <c r="X446" s="31"/>
    </row>
    <row r="447" spans="24:24">
      <c r="X447" s="31"/>
    </row>
    <row r="448" spans="24:24">
      <c r="X448" s="31"/>
    </row>
    <row r="449" spans="24:24">
      <c r="X449" s="31"/>
    </row>
    <row r="450" spans="24:24">
      <c r="X450" s="31"/>
    </row>
    <row r="451" spans="24:24">
      <c r="X451" s="31"/>
    </row>
    <row r="452" spans="24:24">
      <c r="X452" s="31"/>
    </row>
    <row r="453" spans="24:24">
      <c r="X453" s="31"/>
    </row>
    <row r="454" spans="24:24">
      <c r="X454" s="31"/>
    </row>
    <row r="455" spans="24:24">
      <c r="X455" s="31"/>
    </row>
    <row r="456" spans="24:24">
      <c r="X456" s="31"/>
    </row>
    <row r="457" spans="24:24">
      <c r="X457" s="31"/>
    </row>
    <row r="458" spans="24:24">
      <c r="X458" s="31"/>
    </row>
    <row r="459" spans="24:24">
      <c r="X459" s="31"/>
    </row>
    <row r="460" spans="24:24">
      <c r="X460" s="31"/>
    </row>
    <row r="461" spans="24:24">
      <c r="X461" s="31"/>
    </row>
    <row r="462" spans="24:24">
      <c r="X462" s="31"/>
    </row>
    <row r="463" spans="24:24">
      <c r="X463" s="31"/>
    </row>
    <row r="464" spans="24:24">
      <c r="X464" s="31"/>
    </row>
    <row r="465" spans="24:24">
      <c r="X465" s="31"/>
    </row>
    <row r="466" spans="24:24">
      <c r="X466" s="31"/>
    </row>
    <row r="467" spans="24:24">
      <c r="X467" s="31"/>
    </row>
    <row r="468" spans="24:24">
      <c r="X468" s="31"/>
    </row>
    <row r="469" spans="24:24">
      <c r="X469" s="31"/>
    </row>
    <row r="470" spans="24:24">
      <c r="X470" s="31"/>
    </row>
    <row r="471" spans="24:24">
      <c r="X471" s="31"/>
    </row>
    <row r="472" spans="24:24">
      <c r="X472" s="31"/>
    </row>
    <row r="473" spans="24:24">
      <c r="X473" s="31"/>
    </row>
    <row r="474" spans="24:24">
      <c r="X474" s="31"/>
    </row>
    <row r="475" spans="24:24">
      <c r="X475" s="31"/>
    </row>
    <row r="476" spans="24:24">
      <c r="X476" s="31"/>
    </row>
    <row r="477" spans="24:24">
      <c r="X477" s="31"/>
    </row>
    <row r="478" spans="24:24">
      <c r="X478" s="31"/>
    </row>
    <row r="479" spans="24:24">
      <c r="X479" s="31"/>
    </row>
    <row r="480" spans="24:24">
      <c r="X480" s="31"/>
    </row>
    <row r="481" spans="24:24">
      <c r="X481" s="31"/>
    </row>
    <row r="482" spans="24:24">
      <c r="X482" s="31"/>
    </row>
    <row r="483" spans="24:24">
      <c r="X483" s="31"/>
    </row>
    <row r="484" spans="24:24">
      <c r="X484" s="31"/>
    </row>
    <row r="485" spans="24:24">
      <c r="X485" s="31"/>
    </row>
    <row r="486" spans="24:24">
      <c r="X486" s="31"/>
    </row>
    <row r="487" spans="24:24">
      <c r="X487" s="31"/>
    </row>
    <row r="488" spans="24:24">
      <c r="X488" s="31"/>
    </row>
    <row r="489" spans="24:24">
      <c r="X489" s="31"/>
    </row>
    <row r="490" spans="24:24">
      <c r="X490" s="31"/>
    </row>
    <row r="491" spans="24:24">
      <c r="X491" s="31"/>
    </row>
    <row r="492" spans="24:24">
      <c r="X492" s="31"/>
    </row>
    <row r="493" spans="24:24">
      <c r="X493" s="31"/>
    </row>
    <row r="494" spans="24:24">
      <c r="X494" s="31"/>
    </row>
    <row r="495" spans="24:24">
      <c r="X495" s="31"/>
    </row>
    <row r="496" spans="24:24">
      <c r="X496" s="31"/>
    </row>
    <row r="497" spans="24:24">
      <c r="X497" s="31"/>
    </row>
    <row r="498" spans="24:24">
      <c r="X498" s="31"/>
    </row>
    <row r="499" spans="24:24">
      <c r="X499" s="31"/>
    </row>
    <row r="500" spans="24:24">
      <c r="X500" s="31"/>
    </row>
    <row r="501" spans="24:24">
      <c r="X501" s="31"/>
    </row>
    <row r="502" spans="24:24">
      <c r="X502" s="31"/>
    </row>
    <row r="503" spans="24:24">
      <c r="X503" s="31"/>
    </row>
    <row r="504" spans="24:24">
      <c r="X504" s="31"/>
    </row>
    <row r="505" spans="24:24">
      <c r="X505" s="31"/>
    </row>
    <row r="506" spans="24:24">
      <c r="X506" s="31"/>
    </row>
    <row r="507" spans="24:24">
      <c r="X507" s="31"/>
    </row>
    <row r="508" spans="24:24">
      <c r="X508" s="31"/>
    </row>
    <row r="509" spans="24:24">
      <c r="X509" s="31"/>
    </row>
    <row r="510" spans="24:24">
      <c r="X510" s="31"/>
    </row>
    <row r="511" spans="24:24">
      <c r="X511" s="31"/>
    </row>
    <row r="512" spans="24:24">
      <c r="X512" s="31"/>
    </row>
    <row r="513" spans="24:24">
      <c r="X513" s="31"/>
    </row>
    <row r="514" spans="24:24">
      <c r="X514" s="31"/>
    </row>
    <row r="515" spans="24:24">
      <c r="X515" s="31"/>
    </row>
    <row r="516" spans="24:24">
      <c r="X516" s="31"/>
    </row>
    <row r="517" spans="24:24">
      <c r="X517" s="31"/>
    </row>
    <row r="518" spans="24:24">
      <c r="X518" s="31"/>
    </row>
    <row r="519" spans="24:24">
      <c r="X519" s="31"/>
    </row>
    <row r="520" spans="24:24">
      <c r="X520" s="31"/>
    </row>
    <row r="521" spans="24:24">
      <c r="X521" s="31"/>
    </row>
    <row r="522" spans="24:24">
      <c r="X522" s="31"/>
    </row>
    <row r="523" spans="24:24">
      <c r="X523" s="31"/>
    </row>
    <row r="524" spans="24:24">
      <c r="X524" s="31"/>
    </row>
    <row r="525" spans="24:24">
      <c r="X525" s="31"/>
    </row>
    <row r="526" spans="24:24">
      <c r="X526" s="31"/>
    </row>
    <row r="527" spans="24:24">
      <c r="X527" s="31"/>
    </row>
    <row r="528" spans="24:24">
      <c r="X528" s="31"/>
    </row>
    <row r="529" spans="24:24">
      <c r="X529" s="31"/>
    </row>
    <row r="530" spans="24:24">
      <c r="X530" s="31"/>
    </row>
    <row r="531" spans="24:24">
      <c r="X531" s="31"/>
    </row>
    <row r="532" spans="24:24">
      <c r="X532" s="31"/>
    </row>
    <row r="533" spans="24:24">
      <c r="X533" s="31"/>
    </row>
    <row r="534" spans="24:24">
      <c r="X534" s="31"/>
    </row>
    <row r="535" spans="24:24">
      <c r="X535" s="31"/>
    </row>
    <row r="536" spans="24:24">
      <c r="X536" s="31"/>
    </row>
    <row r="537" spans="24:24">
      <c r="X537" s="31"/>
    </row>
    <row r="538" spans="24:24">
      <c r="X538" s="31"/>
    </row>
    <row r="539" spans="24:24">
      <c r="X539" s="31"/>
    </row>
    <row r="540" spans="24:24">
      <c r="X540" s="31"/>
    </row>
    <row r="541" spans="24:24">
      <c r="X541" s="31"/>
    </row>
    <row r="542" spans="24:24">
      <c r="X542" s="31"/>
    </row>
    <row r="543" spans="24:24">
      <c r="X543" s="31"/>
    </row>
    <row r="544" spans="24:24">
      <c r="X544" s="31"/>
    </row>
    <row r="545" spans="24:24">
      <c r="X545" s="31"/>
    </row>
    <row r="546" spans="24:24">
      <c r="X546" s="31"/>
    </row>
    <row r="547" spans="24:24">
      <c r="X547" s="31"/>
    </row>
    <row r="548" spans="24:24">
      <c r="X548" s="31"/>
    </row>
    <row r="549" spans="24:24">
      <c r="X549" s="31"/>
    </row>
    <row r="550" spans="24:24">
      <c r="X550" s="31"/>
    </row>
    <row r="551" spans="24:24">
      <c r="X551" s="31"/>
    </row>
    <row r="552" spans="24:24">
      <c r="X552" s="31"/>
    </row>
    <row r="553" spans="24:24">
      <c r="X553" s="31"/>
    </row>
    <row r="554" spans="24:24">
      <c r="X554" s="31"/>
    </row>
    <row r="555" spans="24:24">
      <c r="X555" s="31"/>
    </row>
    <row r="556" spans="24:24">
      <c r="X556" s="31"/>
    </row>
    <row r="557" spans="24:24">
      <c r="X557" s="31"/>
    </row>
    <row r="558" spans="24:24">
      <c r="X558" s="31"/>
    </row>
    <row r="559" spans="24:24">
      <c r="X559" s="31"/>
    </row>
    <row r="560" spans="24:24">
      <c r="X560" s="31"/>
    </row>
    <row r="561" spans="24:24">
      <c r="X561" s="31"/>
    </row>
    <row r="562" spans="24:24">
      <c r="X562" s="31"/>
    </row>
    <row r="563" spans="24:24">
      <c r="X563" s="31"/>
    </row>
    <row r="564" spans="24:24">
      <c r="X564" s="31"/>
    </row>
    <row r="565" spans="24:24">
      <c r="X565" s="31"/>
    </row>
    <row r="566" spans="24:24">
      <c r="X566" s="31"/>
    </row>
    <row r="567" spans="24:24">
      <c r="X567" s="31"/>
    </row>
    <row r="568" spans="24:24">
      <c r="X568" s="31"/>
    </row>
    <row r="569" spans="24:24">
      <c r="X569" s="31"/>
    </row>
    <row r="570" spans="24:24">
      <c r="X570" s="31"/>
    </row>
    <row r="571" spans="24:24">
      <c r="X571" s="31"/>
    </row>
    <row r="572" spans="24:24">
      <c r="X572" s="31"/>
    </row>
    <row r="573" spans="24:24">
      <c r="X573" s="31"/>
    </row>
    <row r="574" spans="24:24">
      <c r="X574" s="31"/>
    </row>
    <row r="575" spans="24:24">
      <c r="X575" s="31"/>
    </row>
    <row r="576" spans="24:24">
      <c r="X576" s="31"/>
    </row>
    <row r="577" spans="24:24">
      <c r="X577" s="31"/>
    </row>
    <row r="578" spans="24:24">
      <c r="X578" s="31"/>
    </row>
    <row r="579" spans="24:24">
      <c r="X579" s="31"/>
    </row>
    <row r="580" spans="24:24">
      <c r="X580" s="31"/>
    </row>
    <row r="581" spans="24:24">
      <c r="X581" s="31"/>
    </row>
    <row r="582" spans="24:24">
      <c r="X582" s="31"/>
    </row>
    <row r="583" spans="24:24">
      <c r="X583" s="31"/>
    </row>
    <row r="584" spans="24:24">
      <c r="X584" s="31"/>
    </row>
    <row r="585" spans="24:24">
      <c r="X585" s="31"/>
    </row>
    <row r="586" spans="24:24">
      <c r="X586" s="31"/>
    </row>
    <row r="587" spans="24:24">
      <c r="X587" s="31"/>
    </row>
    <row r="588" spans="24:24">
      <c r="X588" s="31"/>
    </row>
    <row r="589" spans="24:24">
      <c r="X589" s="31"/>
    </row>
    <row r="590" spans="24:24">
      <c r="X590" s="31"/>
    </row>
    <row r="591" spans="24:24">
      <c r="X591" s="31"/>
    </row>
    <row r="592" spans="24:24">
      <c r="X592" s="31"/>
    </row>
    <row r="593" spans="24:24">
      <c r="X593" s="31"/>
    </row>
    <row r="594" spans="24:24">
      <c r="X594" s="31"/>
    </row>
    <row r="595" spans="24:24">
      <c r="X595" s="31"/>
    </row>
    <row r="596" spans="24:24">
      <c r="X596" s="31"/>
    </row>
    <row r="597" spans="24:24">
      <c r="X597" s="31"/>
    </row>
    <row r="598" spans="24:24">
      <c r="X598" s="31"/>
    </row>
    <row r="599" spans="24:24">
      <c r="X599" s="31"/>
    </row>
    <row r="600" spans="24:24">
      <c r="X600" s="31"/>
    </row>
    <row r="601" spans="24:24">
      <c r="X601" s="31"/>
    </row>
    <row r="602" spans="24:24">
      <c r="X602" s="31"/>
    </row>
    <row r="603" spans="24:24">
      <c r="X603" s="31"/>
    </row>
    <row r="604" spans="24:24">
      <c r="X604" s="31"/>
    </row>
    <row r="605" spans="24:24">
      <c r="X605" s="31"/>
    </row>
    <row r="606" spans="24:24">
      <c r="X606" s="31"/>
    </row>
    <row r="607" spans="24:24">
      <c r="X607" s="31"/>
    </row>
    <row r="608" spans="24:24">
      <c r="X608" s="31"/>
    </row>
    <row r="609" spans="24:24">
      <c r="X609" s="31"/>
    </row>
    <row r="610" spans="24:24">
      <c r="X610" s="31"/>
    </row>
    <row r="611" spans="24:24">
      <c r="X611" s="31"/>
    </row>
    <row r="612" spans="24:24">
      <c r="X612" s="31"/>
    </row>
    <row r="613" spans="24:24">
      <c r="X613" s="31"/>
    </row>
    <row r="614" spans="24:24">
      <c r="X614" s="31"/>
    </row>
    <row r="615" spans="24:24">
      <c r="X615" s="31"/>
    </row>
    <row r="616" spans="24:24">
      <c r="X616" s="31"/>
    </row>
    <row r="617" spans="24:24">
      <c r="X617" s="31"/>
    </row>
    <row r="618" spans="24:24">
      <c r="X618" s="31"/>
    </row>
    <row r="619" spans="24:24">
      <c r="X619" s="31"/>
    </row>
    <row r="620" spans="24:24">
      <c r="X620" s="31"/>
    </row>
    <row r="621" spans="24:24">
      <c r="X621" s="31"/>
    </row>
    <row r="622" spans="24:24">
      <c r="X622" s="31"/>
    </row>
    <row r="623" spans="24:24">
      <c r="X623" s="31"/>
    </row>
    <row r="624" spans="24:24">
      <c r="X624" s="31"/>
    </row>
    <row r="625" spans="24:24">
      <c r="X625" s="31"/>
    </row>
    <row r="626" spans="24:24">
      <c r="X626" s="31"/>
    </row>
    <row r="627" spans="24:24">
      <c r="X627" s="31"/>
    </row>
    <row r="628" spans="24:24">
      <c r="X628" s="31"/>
    </row>
    <row r="629" spans="24:24">
      <c r="X629" s="31"/>
    </row>
    <row r="630" spans="24:24">
      <c r="X630" s="31"/>
    </row>
    <row r="631" spans="24:24">
      <c r="X631" s="31"/>
    </row>
    <row r="632" spans="24:24">
      <c r="X632" s="31"/>
    </row>
    <row r="633" spans="24:24">
      <c r="X633" s="31"/>
    </row>
    <row r="634" spans="24:24">
      <c r="X634" s="31"/>
    </row>
    <row r="635" spans="24:24">
      <c r="X635" s="31"/>
    </row>
    <row r="636" spans="24:24">
      <c r="X636" s="31"/>
    </row>
    <row r="637" spans="24:24">
      <c r="X637" s="31"/>
    </row>
    <row r="638" spans="24:24">
      <c r="X638" s="31"/>
    </row>
    <row r="639" spans="24:24">
      <c r="X639" s="31"/>
    </row>
    <row r="640" spans="24:24">
      <c r="X640" s="31"/>
    </row>
    <row r="641" spans="24:24">
      <c r="X641" s="31"/>
    </row>
    <row r="642" spans="24:24">
      <c r="X642" s="31"/>
    </row>
    <row r="643" spans="24:24">
      <c r="X643" s="31"/>
    </row>
    <row r="644" spans="24:24">
      <c r="X644" s="31"/>
    </row>
    <row r="645" spans="24:24">
      <c r="X645" s="31"/>
    </row>
    <row r="646" spans="24:24">
      <c r="X646" s="31"/>
    </row>
    <row r="647" spans="24:24">
      <c r="X647" s="31"/>
    </row>
    <row r="648" spans="24:24">
      <c r="X648" s="31"/>
    </row>
    <row r="649" spans="24:24">
      <c r="X649" s="31"/>
    </row>
    <row r="650" spans="24:24">
      <c r="X650" s="31"/>
    </row>
    <row r="651" spans="24:24">
      <c r="X651" s="31"/>
    </row>
    <row r="652" spans="24:24">
      <c r="X652" s="31"/>
    </row>
    <row r="653" spans="24:24">
      <c r="X653" s="31"/>
    </row>
    <row r="654" spans="24:24">
      <c r="X654" s="31"/>
    </row>
    <row r="655" spans="24:24">
      <c r="X655" s="31"/>
    </row>
    <row r="656" spans="24:24">
      <c r="X656" s="31"/>
    </row>
    <row r="657" spans="24:24">
      <c r="X657" s="31"/>
    </row>
    <row r="658" spans="24:24">
      <c r="X658" s="31"/>
    </row>
    <row r="659" spans="24:24">
      <c r="X659" s="31"/>
    </row>
    <row r="660" spans="24:24">
      <c r="X660" s="31"/>
    </row>
    <row r="661" spans="24:24">
      <c r="X661" s="31"/>
    </row>
    <row r="662" spans="24:24">
      <c r="X662" s="31"/>
    </row>
    <row r="663" spans="24:24">
      <c r="X663" s="31"/>
    </row>
    <row r="664" spans="24:24">
      <c r="X664" s="31"/>
    </row>
    <row r="665" spans="24:24">
      <c r="X665" s="31"/>
    </row>
    <row r="666" spans="24:24">
      <c r="X666" s="31"/>
    </row>
    <row r="667" spans="24:24">
      <c r="X667" s="31"/>
    </row>
    <row r="668" spans="24:24">
      <c r="X668" s="31"/>
    </row>
    <row r="669" spans="24:24">
      <c r="X669" s="31"/>
    </row>
    <row r="670" spans="24:24">
      <c r="X670" s="31"/>
    </row>
    <row r="671" spans="24:24">
      <c r="X671" s="31"/>
    </row>
    <row r="672" spans="24:24">
      <c r="X672" s="31"/>
    </row>
    <row r="673" spans="24:24">
      <c r="X673" s="31"/>
    </row>
    <row r="674" spans="24:24">
      <c r="X674" s="31"/>
    </row>
    <row r="675" spans="24:24">
      <c r="X675" s="31"/>
    </row>
    <row r="676" spans="24:24">
      <c r="X676" s="31"/>
    </row>
    <row r="677" spans="24:24">
      <c r="X677" s="31"/>
    </row>
    <row r="678" spans="24:24">
      <c r="X678" s="31"/>
    </row>
    <row r="679" spans="24:24">
      <c r="X679" s="31"/>
    </row>
    <row r="680" spans="24:24">
      <c r="X680" s="31"/>
    </row>
    <row r="681" spans="24:24">
      <c r="X681" s="31"/>
    </row>
    <row r="682" spans="24:24">
      <c r="X682" s="31"/>
    </row>
    <row r="683" spans="24:24">
      <c r="X683" s="31"/>
    </row>
    <row r="684" spans="24:24">
      <c r="X684" s="31"/>
    </row>
    <row r="685" spans="24:24">
      <c r="X685" s="31"/>
    </row>
    <row r="686" spans="24:24">
      <c r="X686" s="31"/>
    </row>
    <row r="687" spans="24:24">
      <c r="X687" s="31"/>
    </row>
    <row r="688" spans="24:24">
      <c r="X688" s="31"/>
    </row>
    <row r="689" spans="24:24">
      <c r="X689" s="31"/>
    </row>
    <row r="690" spans="24:24">
      <c r="X690" s="31"/>
    </row>
    <row r="691" spans="24:24">
      <c r="X691" s="31"/>
    </row>
    <row r="692" spans="24:24">
      <c r="X692" s="31"/>
    </row>
    <row r="693" spans="24:24">
      <c r="X693" s="31"/>
    </row>
    <row r="694" spans="24:24">
      <c r="X694" s="31"/>
    </row>
    <row r="695" spans="24:24">
      <c r="X695" s="31"/>
    </row>
    <row r="696" spans="24:24">
      <c r="X696" s="31"/>
    </row>
    <row r="697" spans="24:24">
      <c r="X697" s="31"/>
    </row>
    <row r="698" spans="24:24">
      <c r="X698" s="31"/>
    </row>
    <row r="699" spans="24:24">
      <c r="X699" s="31"/>
    </row>
    <row r="700" spans="24:24">
      <c r="X700" s="31"/>
    </row>
    <row r="701" spans="24:24">
      <c r="X701" s="31"/>
    </row>
    <row r="702" spans="24:24">
      <c r="X702" s="31"/>
    </row>
    <row r="703" spans="24:24">
      <c r="X703" s="31"/>
    </row>
    <row r="704" spans="24:24">
      <c r="X704" s="31"/>
    </row>
    <row r="705" spans="24:24">
      <c r="X705" s="31"/>
    </row>
    <row r="706" spans="24:24">
      <c r="X706" s="31"/>
    </row>
    <row r="707" spans="24:24">
      <c r="X707" s="31"/>
    </row>
    <row r="708" spans="24:24">
      <c r="X708" s="31"/>
    </row>
    <row r="709" spans="24:24">
      <c r="X709" s="31"/>
    </row>
    <row r="710" spans="24:24">
      <c r="X710" s="31"/>
    </row>
    <row r="711" spans="24:24">
      <c r="X711" s="31"/>
    </row>
    <row r="712" spans="24:24">
      <c r="X712" s="31"/>
    </row>
    <row r="713" spans="24:24">
      <c r="X713" s="31"/>
    </row>
    <row r="714" spans="24:24">
      <c r="X714" s="31"/>
    </row>
    <row r="715" spans="24:24">
      <c r="X715" s="31"/>
    </row>
    <row r="716" spans="24:24">
      <c r="X716" s="31"/>
    </row>
    <row r="717" spans="24:24">
      <c r="X717" s="31"/>
    </row>
    <row r="718" spans="24:24">
      <c r="X718" s="31"/>
    </row>
    <row r="719" spans="24:24">
      <c r="X719" s="31"/>
    </row>
    <row r="720" spans="24:24">
      <c r="X720" s="31"/>
    </row>
    <row r="721" spans="23:25">
      <c r="X721" s="31"/>
    </row>
    <row r="722" spans="23:25">
      <c r="X722" s="31"/>
    </row>
    <row r="723" spans="23:25">
      <c r="X723" s="31"/>
    </row>
    <row r="724" spans="23:25">
      <c r="X724" s="31"/>
    </row>
    <row r="725" spans="23:25">
      <c r="X725" s="31"/>
    </row>
    <row r="726" spans="23:25">
      <c r="X726" s="31"/>
    </row>
    <row r="727" spans="23:25">
      <c r="X727" s="31"/>
    </row>
    <row r="728" spans="23:25">
      <c r="W728" s="63"/>
      <c r="X728" s="63"/>
      <c r="Y728" s="63"/>
    </row>
    <row r="729" spans="23:25">
      <c r="W729" s="63"/>
      <c r="X729" s="63"/>
      <c r="Y729" s="63"/>
    </row>
    <row r="730" spans="23:25">
      <c r="W730" s="63"/>
      <c r="X730" s="63"/>
      <c r="Y730" s="63"/>
    </row>
    <row r="731" spans="23:25">
      <c r="W731" s="63"/>
      <c r="X731" s="63"/>
      <c r="Y731" s="63"/>
    </row>
    <row r="732" spans="23:25">
      <c r="W732" s="63"/>
      <c r="X732" s="63"/>
      <c r="Y732" s="63"/>
    </row>
    <row r="733" spans="23:25">
      <c r="W733" s="63"/>
      <c r="X733" s="63"/>
      <c r="Y733" s="63"/>
    </row>
    <row r="734" spans="23:25">
      <c r="W734" s="63"/>
      <c r="X734" s="63"/>
      <c r="Y734" s="63"/>
    </row>
    <row r="735" spans="23:25">
      <c r="W735" s="63"/>
      <c r="X735" s="63"/>
      <c r="Y735" s="63"/>
    </row>
    <row r="736" spans="23:25">
      <c r="W736" s="63"/>
      <c r="X736" s="63"/>
      <c r="Y736" s="63"/>
    </row>
    <row r="737" spans="23:25">
      <c r="W737" s="63"/>
      <c r="X737" s="63"/>
      <c r="Y737" s="63"/>
    </row>
    <row r="738" spans="23:25">
      <c r="W738" s="63"/>
      <c r="X738" s="63"/>
      <c r="Y738" s="63"/>
    </row>
    <row r="739" spans="23:25">
      <c r="W739" s="63"/>
      <c r="X739" s="63"/>
      <c r="Y739" s="63"/>
    </row>
    <row r="740" spans="23:25">
      <c r="W740" s="63"/>
      <c r="X740" s="63"/>
      <c r="Y740" s="63"/>
    </row>
    <row r="741" spans="23:25">
      <c r="W741" s="63"/>
      <c r="X741" s="63"/>
      <c r="Y741" s="63"/>
    </row>
    <row r="742" spans="23:25">
      <c r="W742" s="63"/>
      <c r="X742" s="63"/>
      <c r="Y742" s="63"/>
    </row>
    <row r="743" spans="23:25">
      <c r="W743" s="63"/>
      <c r="X743" s="63"/>
      <c r="Y743" s="63"/>
    </row>
    <row r="744" spans="23:25">
      <c r="W744" s="63"/>
      <c r="X744" s="63"/>
      <c r="Y744" s="63"/>
    </row>
    <row r="745" spans="23:25">
      <c r="W745" s="63"/>
      <c r="X745" s="63"/>
      <c r="Y745" s="63"/>
    </row>
    <row r="746" spans="23:25">
      <c r="W746" s="63"/>
      <c r="X746" s="63"/>
      <c r="Y746" s="63"/>
    </row>
    <row r="747" spans="23:25">
      <c r="W747" s="63"/>
      <c r="X747" s="63"/>
      <c r="Y747" s="63"/>
    </row>
    <row r="748" spans="23:25">
      <c r="W748" s="63"/>
      <c r="X748" s="63"/>
      <c r="Y748" s="63"/>
    </row>
    <row r="749" spans="23:25">
      <c r="W749" s="63"/>
      <c r="X749" s="63"/>
      <c r="Y749" s="63"/>
    </row>
    <row r="750" spans="23:25">
      <c r="W750" s="63"/>
      <c r="X750" s="63"/>
      <c r="Y750" s="63"/>
    </row>
    <row r="751" spans="23:25">
      <c r="W751" s="63"/>
      <c r="X751" s="63"/>
      <c r="Y751" s="63"/>
    </row>
    <row r="752" spans="23:25">
      <c r="W752" s="63"/>
      <c r="X752" s="63"/>
      <c r="Y752" s="63"/>
    </row>
    <row r="753" spans="23:25">
      <c r="W753" s="63"/>
      <c r="X753" s="63"/>
      <c r="Y753" s="63"/>
    </row>
    <row r="754" spans="23:25">
      <c r="W754" s="63"/>
      <c r="X754" s="63"/>
      <c r="Y754" s="63"/>
    </row>
    <row r="755" spans="23:25">
      <c r="W755" s="63"/>
      <c r="X755" s="63"/>
      <c r="Y755" s="63"/>
    </row>
    <row r="756" spans="23:25">
      <c r="W756" s="63"/>
      <c r="X756" s="63"/>
      <c r="Y756" s="63"/>
    </row>
    <row r="757" spans="23:25">
      <c r="W757" s="63"/>
      <c r="X757" s="63"/>
      <c r="Y757" s="63"/>
    </row>
    <row r="758" spans="23:25">
      <c r="W758" s="63"/>
      <c r="X758" s="63"/>
      <c r="Y758" s="63"/>
    </row>
    <row r="759" spans="23:25">
      <c r="W759" s="63"/>
      <c r="X759" s="63"/>
      <c r="Y759" s="63"/>
    </row>
    <row r="760" spans="23:25">
      <c r="W760" s="63"/>
      <c r="X760" s="63"/>
      <c r="Y760" s="63"/>
    </row>
    <row r="761" spans="23:25">
      <c r="W761" s="63"/>
      <c r="X761" s="63"/>
      <c r="Y761" s="63"/>
    </row>
    <row r="762" spans="23:25">
      <c r="W762" s="63"/>
      <c r="X762" s="63"/>
      <c r="Y762" s="63"/>
    </row>
    <row r="763" spans="23:25">
      <c r="W763" s="63"/>
      <c r="X763" s="63"/>
      <c r="Y763" s="63"/>
    </row>
    <row r="764" spans="23:25">
      <c r="W764" s="63"/>
      <c r="X764" s="63"/>
      <c r="Y764" s="63"/>
    </row>
    <row r="765" spans="23:25">
      <c r="W765" s="63"/>
      <c r="X765" s="63"/>
      <c r="Y765" s="63"/>
    </row>
    <row r="766" spans="23:25">
      <c r="W766" s="63"/>
      <c r="X766" s="63"/>
      <c r="Y766" s="63"/>
    </row>
    <row r="767" spans="23:25">
      <c r="W767" s="63"/>
      <c r="X767" s="63"/>
      <c r="Y767" s="63"/>
    </row>
    <row r="768" spans="23:25">
      <c r="W768" s="63"/>
      <c r="X768" s="63"/>
      <c r="Y768" s="63"/>
    </row>
    <row r="769" spans="23:25">
      <c r="W769" s="63"/>
      <c r="X769" s="63"/>
      <c r="Y769" s="63"/>
    </row>
    <row r="770" spans="23:25">
      <c r="W770" s="63"/>
      <c r="X770" s="63"/>
      <c r="Y770" s="63"/>
    </row>
    <row r="771" spans="23:25">
      <c r="W771" s="63"/>
      <c r="X771" s="63"/>
      <c r="Y771" s="63"/>
    </row>
    <row r="772" spans="23:25">
      <c r="W772" s="63"/>
      <c r="X772" s="63"/>
      <c r="Y772" s="63"/>
    </row>
    <row r="773" spans="23:25">
      <c r="W773" s="63"/>
      <c r="X773" s="63"/>
      <c r="Y773" s="63"/>
    </row>
    <row r="774" spans="23:25">
      <c r="W774" s="63"/>
      <c r="X774" s="63"/>
      <c r="Y774" s="63"/>
    </row>
    <row r="775" spans="23:25">
      <c r="W775" s="63"/>
      <c r="X775" s="63"/>
      <c r="Y775" s="63"/>
    </row>
    <row r="776" spans="23:25">
      <c r="W776" s="63"/>
      <c r="X776" s="63"/>
      <c r="Y776" s="63"/>
    </row>
    <row r="777" spans="23:25">
      <c r="W777" s="63"/>
      <c r="X777" s="63"/>
      <c r="Y777" s="63"/>
    </row>
    <row r="778" spans="23:25">
      <c r="W778" s="63"/>
      <c r="X778" s="63"/>
      <c r="Y778" s="63"/>
    </row>
    <row r="779" spans="23:25">
      <c r="W779" s="63"/>
      <c r="X779" s="63"/>
      <c r="Y779" s="63"/>
    </row>
    <row r="780" spans="23:25">
      <c r="W780" s="63"/>
      <c r="X780" s="63"/>
      <c r="Y780" s="63"/>
    </row>
    <row r="781" spans="23:25">
      <c r="W781" s="63"/>
      <c r="X781" s="63"/>
      <c r="Y781" s="63"/>
    </row>
    <row r="782" spans="23:25">
      <c r="W782" s="63"/>
      <c r="X782" s="63"/>
      <c r="Y782" s="63"/>
    </row>
    <row r="783" spans="23:25">
      <c r="W783" s="63"/>
      <c r="X783" s="63"/>
      <c r="Y783" s="63"/>
    </row>
    <row r="784" spans="23:25">
      <c r="W784" s="63"/>
      <c r="X784" s="63"/>
      <c r="Y784" s="63"/>
    </row>
    <row r="785" spans="23:25">
      <c r="W785" s="63"/>
      <c r="X785" s="63"/>
      <c r="Y785" s="63"/>
    </row>
    <row r="786" spans="23:25">
      <c r="W786" s="63"/>
      <c r="X786" s="63"/>
      <c r="Y786" s="63"/>
    </row>
    <row r="787" spans="23:25">
      <c r="W787" s="63"/>
      <c r="X787" s="63"/>
      <c r="Y787" s="63"/>
    </row>
    <row r="788" spans="23:25">
      <c r="W788" s="63"/>
      <c r="X788" s="63"/>
      <c r="Y788" s="63"/>
    </row>
    <row r="789" spans="23:25">
      <c r="W789" s="63"/>
      <c r="X789" s="63"/>
      <c r="Y789" s="63"/>
    </row>
    <row r="790" spans="23:25">
      <c r="W790" s="63"/>
      <c r="X790" s="63"/>
      <c r="Y790" s="63"/>
    </row>
    <row r="791" spans="23:25">
      <c r="W791" s="63"/>
      <c r="X791" s="63"/>
      <c r="Y791" s="63"/>
    </row>
    <row r="792" spans="23:25">
      <c r="W792" s="63"/>
      <c r="X792" s="63"/>
      <c r="Y792" s="63"/>
    </row>
    <row r="793" spans="23:25">
      <c r="W793" s="63"/>
      <c r="X793" s="63"/>
      <c r="Y793" s="63"/>
    </row>
    <row r="794" spans="23:25">
      <c r="W794" s="63"/>
      <c r="X794" s="63"/>
      <c r="Y794" s="63"/>
    </row>
    <row r="795" spans="23:25">
      <c r="W795" s="63"/>
      <c r="X795" s="63"/>
      <c r="Y795" s="63"/>
    </row>
    <row r="796" spans="23:25">
      <c r="W796" s="63"/>
      <c r="X796" s="63"/>
      <c r="Y796" s="63"/>
    </row>
    <row r="797" spans="23:25">
      <c r="W797" s="63"/>
      <c r="X797" s="63"/>
      <c r="Y797" s="63"/>
    </row>
    <row r="798" spans="23:25">
      <c r="W798" s="63"/>
      <c r="X798" s="63"/>
      <c r="Y798" s="63"/>
    </row>
    <row r="799" spans="23:25">
      <c r="W799" s="63"/>
      <c r="X799" s="63"/>
      <c r="Y799" s="63"/>
    </row>
    <row r="800" spans="23:25">
      <c r="W800" s="63"/>
      <c r="X800" s="63"/>
      <c r="Y800" s="63"/>
    </row>
    <row r="801" spans="23:25">
      <c r="W801" s="63"/>
      <c r="X801" s="63"/>
      <c r="Y801" s="63"/>
    </row>
    <row r="802" spans="23:25">
      <c r="W802" s="63"/>
      <c r="X802" s="63"/>
      <c r="Y802" s="63"/>
    </row>
    <row r="803" spans="23:25">
      <c r="W803" s="63"/>
      <c r="X803" s="63"/>
      <c r="Y803" s="63"/>
    </row>
    <row r="804" spans="23:25">
      <c r="W804" s="63"/>
      <c r="X804" s="63"/>
      <c r="Y804" s="63"/>
    </row>
    <row r="805" spans="23:25">
      <c r="W805" s="63"/>
      <c r="X805" s="63"/>
      <c r="Y805" s="63"/>
    </row>
    <row r="806" spans="23:25">
      <c r="W806" s="63"/>
      <c r="X806" s="63"/>
      <c r="Y806" s="63"/>
    </row>
    <row r="807" spans="23:25">
      <c r="W807" s="63"/>
      <c r="X807" s="63"/>
      <c r="Y807" s="63"/>
    </row>
    <row r="808" spans="23:25">
      <c r="W808" s="63"/>
      <c r="X808" s="63"/>
      <c r="Y808" s="63"/>
    </row>
    <row r="809" spans="23:25">
      <c r="W809" s="63"/>
      <c r="X809" s="63"/>
      <c r="Y809" s="63"/>
    </row>
    <row r="810" spans="23:25">
      <c r="W810" s="63"/>
      <c r="X810" s="63"/>
      <c r="Y810" s="63"/>
    </row>
    <row r="811" spans="23:25">
      <c r="W811" s="63"/>
      <c r="X811" s="63"/>
      <c r="Y811" s="63"/>
    </row>
    <row r="812" spans="23:25">
      <c r="W812" s="63"/>
      <c r="X812" s="63"/>
      <c r="Y812" s="63"/>
    </row>
    <row r="813" spans="23:25">
      <c r="W813" s="63"/>
      <c r="X813" s="63"/>
      <c r="Y813" s="63"/>
    </row>
    <row r="814" spans="23:25">
      <c r="W814" s="63"/>
      <c r="X814" s="63"/>
      <c r="Y814" s="63"/>
    </row>
    <row r="815" spans="23:25">
      <c r="W815" s="63"/>
      <c r="X815" s="63"/>
      <c r="Y815" s="63"/>
    </row>
    <row r="816" spans="23:25">
      <c r="W816" s="63"/>
      <c r="X816" s="63"/>
      <c r="Y816" s="63"/>
    </row>
    <row r="817" spans="23:25">
      <c r="W817" s="63"/>
      <c r="X817" s="63"/>
      <c r="Y817" s="63"/>
    </row>
    <row r="818" spans="23:25">
      <c r="W818" s="63"/>
      <c r="X818" s="63"/>
      <c r="Y818" s="63"/>
    </row>
    <row r="819" spans="23:25">
      <c r="W819" s="63"/>
      <c r="X819" s="63"/>
      <c r="Y819" s="63"/>
    </row>
    <row r="820" spans="23:25">
      <c r="W820" s="63"/>
      <c r="X820" s="63"/>
      <c r="Y820" s="63"/>
    </row>
    <row r="821" spans="23:25">
      <c r="W821" s="63"/>
      <c r="X821" s="63"/>
      <c r="Y821" s="63"/>
    </row>
    <row r="822" spans="23:25">
      <c r="W822" s="63"/>
      <c r="X822" s="63"/>
      <c r="Y822" s="63"/>
    </row>
    <row r="823" spans="23:25">
      <c r="W823" s="63"/>
      <c r="X823" s="63"/>
      <c r="Y823" s="63"/>
    </row>
    <row r="824" spans="23:25">
      <c r="W824" s="63"/>
      <c r="X824" s="63"/>
      <c r="Y824" s="63"/>
    </row>
    <row r="825" spans="23:25">
      <c r="W825" s="63"/>
      <c r="X825" s="63"/>
      <c r="Y825" s="63"/>
    </row>
    <row r="826" spans="23:25">
      <c r="W826" s="63"/>
      <c r="X826" s="63"/>
      <c r="Y826" s="63"/>
    </row>
    <row r="827" spans="23:25">
      <c r="W827" s="63"/>
      <c r="X827" s="63"/>
      <c r="Y827" s="63"/>
    </row>
    <row r="828" spans="23:25">
      <c r="W828" s="63"/>
      <c r="X828" s="63"/>
      <c r="Y828" s="63"/>
    </row>
    <row r="829" spans="23:25">
      <c r="W829" s="63"/>
      <c r="X829" s="63"/>
      <c r="Y829" s="63"/>
    </row>
    <row r="830" spans="23:25">
      <c r="W830" s="63"/>
      <c r="X830" s="63"/>
      <c r="Y830" s="63"/>
    </row>
    <row r="831" spans="23:25">
      <c r="W831" s="63"/>
      <c r="X831" s="63"/>
      <c r="Y831" s="63"/>
    </row>
    <row r="832" spans="23:25">
      <c r="W832" s="63"/>
      <c r="X832" s="63"/>
      <c r="Y832" s="63"/>
    </row>
    <row r="833" spans="23:25">
      <c r="W833" s="63"/>
      <c r="X833" s="63"/>
      <c r="Y833" s="63"/>
    </row>
    <row r="834" spans="23:25">
      <c r="W834" s="63"/>
      <c r="X834" s="63"/>
      <c r="Y834" s="63"/>
    </row>
    <row r="835" spans="23:25">
      <c r="W835" s="63"/>
      <c r="X835" s="63"/>
      <c r="Y835" s="63"/>
    </row>
    <row r="836" spans="23:25">
      <c r="W836" s="63"/>
      <c r="X836" s="63"/>
      <c r="Y836" s="63"/>
    </row>
    <row r="837" spans="23:25">
      <c r="W837" s="63"/>
      <c r="X837" s="63"/>
      <c r="Y837" s="63"/>
    </row>
    <row r="838" spans="23:25">
      <c r="W838" s="63"/>
      <c r="X838" s="63"/>
      <c r="Y838" s="63"/>
    </row>
    <row r="839" spans="23:25">
      <c r="W839" s="63"/>
      <c r="X839" s="63"/>
      <c r="Y839" s="63"/>
    </row>
    <row r="840" spans="23:25">
      <c r="W840" s="63"/>
      <c r="X840" s="63"/>
      <c r="Y840" s="63"/>
    </row>
    <row r="841" spans="23:25">
      <c r="W841" s="63"/>
      <c r="X841" s="63"/>
      <c r="Y841" s="63"/>
    </row>
    <row r="842" spans="23:25">
      <c r="W842" s="63"/>
      <c r="X842" s="63"/>
      <c r="Y842" s="63"/>
    </row>
    <row r="843" spans="23:25">
      <c r="W843" s="63"/>
      <c r="X843" s="63"/>
      <c r="Y843" s="63"/>
    </row>
    <row r="844" spans="23:25">
      <c r="W844" s="63"/>
      <c r="X844" s="63"/>
      <c r="Y844" s="63"/>
    </row>
    <row r="845" spans="23:25">
      <c r="W845" s="63"/>
      <c r="X845" s="63"/>
      <c r="Y845" s="63"/>
    </row>
    <row r="846" spans="23:25">
      <c r="W846" s="63"/>
      <c r="X846" s="63"/>
      <c r="Y846" s="63"/>
    </row>
    <row r="847" spans="23:25">
      <c r="W847" s="63"/>
      <c r="X847" s="63"/>
      <c r="Y847" s="63"/>
    </row>
    <row r="848" spans="23:25">
      <c r="W848" s="63"/>
      <c r="X848" s="63"/>
      <c r="Y848" s="63"/>
    </row>
    <row r="849" spans="23:25">
      <c r="W849" s="63"/>
      <c r="X849" s="63"/>
      <c r="Y849" s="63"/>
    </row>
    <row r="850" spans="23:25">
      <c r="W850" s="63"/>
      <c r="X850" s="63"/>
      <c r="Y850" s="63"/>
    </row>
    <row r="851" spans="23:25">
      <c r="W851" s="63"/>
      <c r="X851" s="63"/>
      <c r="Y851" s="63"/>
    </row>
    <row r="852" spans="23:25">
      <c r="W852" s="63"/>
      <c r="X852" s="63"/>
      <c r="Y852" s="63"/>
    </row>
    <row r="853" spans="23:25">
      <c r="W853" s="63"/>
      <c r="X853" s="63"/>
      <c r="Y853" s="63"/>
    </row>
    <row r="854" spans="23:25">
      <c r="W854" s="63"/>
      <c r="X854" s="63"/>
      <c r="Y854" s="63"/>
    </row>
    <row r="855" spans="23:25">
      <c r="W855" s="63"/>
      <c r="X855" s="63"/>
      <c r="Y855" s="63"/>
    </row>
    <row r="856" spans="23:25">
      <c r="W856" s="63"/>
      <c r="X856" s="63"/>
      <c r="Y856" s="63"/>
    </row>
    <row r="857" spans="23:25">
      <c r="W857" s="63"/>
      <c r="X857" s="63"/>
      <c r="Y857" s="63"/>
    </row>
    <row r="858" spans="23:25">
      <c r="W858" s="63"/>
      <c r="X858" s="63"/>
      <c r="Y858" s="63"/>
    </row>
    <row r="859" spans="23:25">
      <c r="W859" s="63"/>
      <c r="X859" s="63"/>
      <c r="Y859" s="63"/>
    </row>
    <row r="860" spans="23:25">
      <c r="W860" s="63"/>
      <c r="X860" s="63"/>
      <c r="Y860" s="63"/>
    </row>
    <row r="861" spans="23:25">
      <c r="W861" s="63"/>
      <c r="X861" s="63"/>
      <c r="Y861" s="63"/>
    </row>
    <row r="862" spans="23:25">
      <c r="W862" s="63"/>
      <c r="X862" s="63"/>
      <c r="Y862" s="63"/>
    </row>
    <row r="863" spans="23:25">
      <c r="W863" s="63"/>
      <c r="X863" s="63"/>
      <c r="Y863" s="63"/>
    </row>
    <row r="864" spans="23:25">
      <c r="W864" s="63"/>
      <c r="X864" s="63"/>
      <c r="Y864" s="63"/>
    </row>
    <row r="865" spans="23:25">
      <c r="W865" s="63"/>
      <c r="X865" s="63"/>
      <c r="Y865" s="63"/>
    </row>
    <row r="866" spans="23:25">
      <c r="W866" s="63"/>
      <c r="X866" s="63"/>
      <c r="Y866" s="63"/>
    </row>
    <row r="867" spans="23:25">
      <c r="W867" s="63"/>
      <c r="X867" s="63"/>
      <c r="Y867" s="63"/>
    </row>
    <row r="868" spans="23:25">
      <c r="W868" s="63"/>
      <c r="X868" s="63"/>
      <c r="Y868" s="63"/>
    </row>
    <row r="869" spans="23:25">
      <c r="W869" s="63"/>
      <c r="X869" s="63"/>
      <c r="Y869" s="63"/>
    </row>
    <row r="870" spans="23:25">
      <c r="W870" s="63"/>
      <c r="X870" s="63"/>
      <c r="Y870" s="63"/>
    </row>
    <row r="871" spans="23:25">
      <c r="W871" s="63"/>
      <c r="X871" s="63"/>
      <c r="Y871" s="63"/>
    </row>
    <row r="872" spans="23:25">
      <c r="W872" s="63"/>
      <c r="X872" s="63"/>
      <c r="Y872" s="63"/>
    </row>
    <row r="873" spans="23:25">
      <c r="W873" s="63"/>
      <c r="X873" s="63"/>
      <c r="Y873" s="63"/>
    </row>
    <row r="874" spans="23:25">
      <c r="W874" s="63"/>
      <c r="X874" s="63"/>
      <c r="Y874" s="63"/>
    </row>
    <row r="875" spans="23:25">
      <c r="W875" s="63"/>
      <c r="X875" s="63"/>
      <c r="Y875" s="63"/>
    </row>
    <row r="876" spans="23:25">
      <c r="W876" s="63"/>
      <c r="X876" s="63"/>
      <c r="Y876" s="63"/>
    </row>
    <row r="877" spans="23:25">
      <c r="W877" s="63"/>
      <c r="X877" s="63"/>
      <c r="Y877" s="63"/>
    </row>
    <row r="878" spans="23:25">
      <c r="W878" s="63"/>
      <c r="X878" s="63"/>
      <c r="Y878" s="63"/>
    </row>
    <row r="879" spans="23:25">
      <c r="W879" s="63"/>
      <c r="X879" s="63"/>
      <c r="Y879" s="63"/>
    </row>
    <row r="880" spans="23:25">
      <c r="W880" s="63"/>
      <c r="X880" s="63"/>
      <c r="Y880" s="63"/>
    </row>
    <row r="881" spans="23:25">
      <c r="W881" s="63"/>
      <c r="X881" s="63"/>
      <c r="Y881" s="63"/>
    </row>
    <row r="882" spans="23:25">
      <c r="W882" s="63"/>
      <c r="X882" s="63"/>
      <c r="Y882" s="63"/>
    </row>
    <row r="883" spans="23:25">
      <c r="W883" s="63"/>
      <c r="X883" s="63"/>
      <c r="Y883" s="63"/>
    </row>
    <row r="884" spans="23:25">
      <c r="W884" s="63"/>
      <c r="X884" s="63"/>
      <c r="Y884" s="63"/>
    </row>
    <row r="885" spans="23:25">
      <c r="W885" s="63"/>
      <c r="X885" s="63"/>
      <c r="Y885" s="63"/>
    </row>
    <row r="886" spans="23:25">
      <c r="W886" s="63"/>
      <c r="X886" s="63"/>
      <c r="Y886" s="63"/>
    </row>
    <row r="887" spans="23:25">
      <c r="W887" s="63"/>
      <c r="X887" s="63"/>
      <c r="Y887" s="63"/>
    </row>
    <row r="888" spans="23:25">
      <c r="W888" s="63"/>
      <c r="X888" s="63"/>
      <c r="Y888" s="63"/>
    </row>
    <row r="889" spans="23:25">
      <c r="W889" s="63"/>
      <c r="X889" s="63"/>
      <c r="Y889" s="63"/>
    </row>
    <row r="890" spans="23:25">
      <c r="W890" s="63"/>
      <c r="X890" s="63"/>
      <c r="Y890" s="63"/>
    </row>
    <row r="891" spans="23:25">
      <c r="W891" s="63"/>
      <c r="X891" s="63"/>
      <c r="Y891" s="63"/>
    </row>
    <row r="892" spans="23:25">
      <c r="W892" s="63"/>
      <c r="X892" s="63"/>
      <c r="Y892" s="63"/>
    </row>
    <row r="893" spans="23:25">
      <c r="W893" s="63"/>
      <c r="X893" s="63"/>
      <c r="Y893" s="63"/>
    </row>
    <row r="894" spans="23:25">
      <c r="W894" s="63"/>
      <c r="X894" s="63"/>
      <c r="Y894" s="63"/>
    </row>
    <row r="895" spans="23:25">
      <c r="W895" s="63"/>
      <c r="X895" s="63"/>
      <c r="Y895" s="63"/>
    </row>
    <row r="896" spans="23:25">
      <c r="W896" s="63"/>
      <c r="X896" s="63"/>
      <c r="Y896" s="63"/>
    </row>
    <row r="897" spans="23:25">
      <c r="W897" s="63"/>
      <c r="X897" s="63"/>
      <c r="Y897" s="63"/>
    </row>
    <row r="898" spans="23:25">
      <c r="W898" s="63"/>
      <c r="X898" s="63"/>
      <c r="Y898" s="63"/>
    </row>
    <row r="899" spans="23:25">
      <c r="W899" s="63"/>
      <c r="X899" s="63"/>
      <c r="Y899" s="63"/>
    </row>
    <row r="900" spans="23:25">
      <c r="W900" s="63"/>
      <c r="X900" s="63"/>
      <c r="Y900" s="63"/>
    </row>
    <row r="901" spans="23:25">
      <c r="W901" s="63"/>
      <c r="X901" s="63"/>
      <c r="Y901" s="63"/>
    </row>
    <row r="902" spans="23:25">
      <c r="W902" s="63"/>
      <c r="X902" s="63"/>
      <c r="Y902" s="63"/>
    </row>
    <row r="903" spans="23:25">
      <c r="W903" s="63"/>
      <c r="X903" s="63"/>
      <c r="Y903" s="63"/>
    </row>
    <row r="904" spans="23:25">
      <c r="W904" s="63"/>
      <c r="X904" s="63"/>
      <c r="Y904" s="63"/>
    </row>
    <row r="905" spans="23:25">
      <c r="W905" s="63"/>
      <c r="X905" s="63"/>
      <c r="Y905" s="63"/>
    </row>
    <row r="906" spans="23:25">
      <c r="W906" s="63"/>
      <c r="X906" s="63"/>
      <c r="Y906" s="63"/>
    </row>
    <row r="907" spans="23:25">
      <c r="W907" s="63"/>
      <c r="X907" s="63"/>
      <c r="Y907" s="63"/>
    </row>
    <row r="908" spans="23:25">
      <c r="W908" s="63"/>
      <c r="X908" s="63"/>
      <c r="Y908" s="63"/>
    </row>
    <row r="909" spans="23:25">
      <c r="W909" s="63"/>
      <c r="X909" s="63"/>
      <c r="Y909" s="63"/>
    </row>
    <row r="910" spans="23:25">
      <c r="W910" s="63"/>
      <c r="X910" s="63"/>
      <c r="Y910" s="63"/>
    </row>
    <row r="911" spans="23:25">
      <c r="W911" s="63"/>
      <c r="X911" s="63"/>
      <c r="Y911" s="63"/>
    </row>
    <row r="912" spans="23:25">
      <c r="W912" s="63"/>
      <c r="X912" s="63"/>
      <c r="Y912" s="63"/>
    </row>
    <row r="913" spans="23:25">
      <c r="W913" s="63"/>
      <c r="X913" s="63"/>
      <c r="Y913" s="63"/>
    </row>
    <row r="914" spans="23:25">
      <c r="W914" s="63"/>
      <c r="X914" s="63"/>
      <c r="Y914" s="63"/>
    </row>
    <row r="915" spans="23:25">
      <c r="W915" s="63"/>
      <c r="X915" s="63"/>
      <c r="Y915" s="63"/>
    </row>
    <row r="916" spans="23:25">
      <c r="W916" s="63"/>
      <c r="X916" s="63"/>
      <c r="Y916" s="63"/>
    </row>
    <row r="917" spans="23:25">
      <c r="W917" s="63"/>
      <c r="X917" s="63"/>
      <c r="Y917" s="63"/>
    </row>
    <row r="918" spans="23:25">
      <c r="W918" s="63"/>
      <c r="X918" s="63"/>
      <c r="Y918" s="63"/>
    </row>
    <row r="919" spans="23:25">
      <c r="W919" s="63"/>
      <c r="X919" s="63"/>
      <c r="Y919" s="63"/>
    </row>
    <row r="920" spans="23:25">
      <c r="W920" s="63"/>
      <c r="X920" s="63"/>
      <c r="Y920" s="63"/>
    </row>
    <row r="921" spans="23:25">
      <c r="W921" s="63"/>
      <c r="X921" s="63"/>
      <c r="Y921" s="63"/>
    </row>
    <row r="922" spans="23:25">
      <c r="W922" s="63"/>
      <c r="X922" s="63"/>
      <c r="Y922" s="63"/>
    </row>
    <row r="923" spans="23:25">
      <c r="W923" s="63"/>
      <c r="X923" s="63"/>
      <c r="Y923" s="63"/>
    </row>
    <row r="924" spans="23:25">
      <c r="W924" s="63"/>
      <c r="X924" s="63"/>
      <c r="Y924" s="63"/>
    </row>
    <row r="925" spans="23:25">
      <c r="W925" s="63"/>
      <c r="X925" s="63"/>
      <c r="Y925" s="63"/>
    </row>
    <row r="926" spans="23:25">
      <c r="W926" s="63"/>
      <c r="X926" s="63"/>
      <c r="Y926" s="63"/>
    </row>
    <row r="927" spans="23:25">
      <c r="W927" s="63"/>
      <c r="X927" s="63"/>
      <c r="Y927" s="63"/>
    </row>
    <row r="928" spans="23:25">
      <c r="W928" s="63"/>
      <c r="X928" s="63"/>
      <c r="Y928" s="63"/>
    </row>
    <row r="929" spans="23:25">
      <c r="W929" s="63"/>
      <c r="X929" s="63"/>
      <c r="Y929" s="63"/>
    </row>
    <row r="930" spans="23:25">
      <c r="W930" s="63"/>
      <c r="X930" s="63"/>
      <c r="Y930" s="63"/>
    </row>
    <row r="931" spans="23:25">
      <c r="W931" s="63"/>
      <c r="X931" s="63"/>
      <c r="Y931" s="63"/>
    </row>
    <row r="932" spans="23:25">
      <c r="W932" s="63"/>
      <c r="X932" s="63"/>
      <c r="Y932" s="63"/>
    </row>
    <row r="933" spans="23:25">
      <c r="W933" s="63"/>
      <c r="X933" s="63"/>
      <c r="Y933" s="63"/>
    </row>
    <row r="934" spans="23:25">
      <c r="W934" s="63"/>
      <c r="X934" s="63"/>
      <c r="Y934" s="63"/>
    </row>
    <row r="935" spans="23:25">
      <c r="W935" s="63"/>
      <c r="X935" s="63"/>
      <c r="Y935" s="63"/>
    </row>
    <row r="936" spans="23:25">
      <c r="W936" s="63"/>
      <c r="X936" s="63"/>
      <c r="Y936" s="63"/>
    </row>
    <row r="937" spans="23:25">
      <c r="W937" s="63"/>
      <c r="X937" s="63"/>
      <c r="Y937" s="63"/>
    </row>
    <row r="938" spans="23:25">
      <c r="W938" s="63"/>
      <c r="X938" s="63"/>
      <c r="Y938" s="63"/>
    </row>
    <row r="939" spans="23:25">
      <c r="W939" s="63"/>
      <c r="X939" s="63"/>
      <c r="Y939" s="63"/>
    </row>
    <row r="940" spans="23:25">
      <c r="W940" s="63"/>
      <c r="X940" s="63"/>
      <c r="Y940" s="63"/>
    </row>
    <row r="941" spans="23:25">
      <c r="W941" s="63"/>
      <c r="X941" s="63"/>
      <c r="Y941" s="63"/>
    </row>
    <row r="942" spans="23:25">
      <c r="W942" s="63"/>
      <c r="X942" s="63"/>
      <c r="Y942" s="63"/>
    </row>
    <row r="943" spans="23:25">
      <c r="W943" s="63"/>
      <c r="X943" s="63"/>
      <c r="Y943" s="63"/>
    </row>
    <row r="944" spans="23:25">
      <c r="W944" s="63"/>
      <c r="X944" s="63"/>
      <c r="Y944" s="63"/>
    </row>
    <row r="945" spans="23:25">
      <c r="W945" s="63"/>
      <c r="X945" s="63"/>
      <c r="Y945" s="63"/>
    </row>
    <row r="946" spans="23:25">
      <c r="W946" s="63"/>
      <c r="X946" s="63"/>
      <c r="Y946" s="63"/>
    </row>
    <row r="947" spans="23:25">
      <c r="W947" s="63"/>
      <c r="X947" s="63"/>
      <c r="Y947" s="63"/>
    </row>
    <row r="948" spans="23:25">
      <c r="W948" s="63"/>
      <c r="X948" s="63"/>
      <c r="Y948" s="63"/>
    </row>
    <row r="949" spans="23:25">
      <c r="W949" s="63"/>
      <c r="X949" s="63"/>
      <c r="Y949" s="63"/>
    </row>
    <row r="950" spans="23:25">
      <c r="W950" s="63"/>
      <c r="X950" s="63"/>
      <c r="Y950" s="63"/>
    </row>
    <row r="951" spans="23:25">
      <c r="W951" s="63"/>
      <c r="X951" s="63"/>
      <c r="Y951" s="63"/>
    </row>
    <row r="952" spans="23:25">
      <c r="W952" s="63"/>
      <c r="X952" s="63"/>
      <c r="Y952" s="63"/>
    </row>
    <row r="953" spans="23:25">
      <c r="W953" s="63"/>
      <c r="X953" s="63"/>
      <c r="Y953" s="63"/>
    </row>
    <row r="954" spans="23:25">
      <c r="W954" s="63"/>
      <c r="X954" s="63"/>
      <c r="Y954" s="63"/>
    </row>
    <row r="955" spans="23:25">
      <c r="W955" s="63"/>
      <c r="X955" s="63"/>
      <c r="Y955" s="63"/>
    </row>
    <row r="956" spans="23:25">
      <c r="W956" s="63"/>
      <c r="X956" s="63"/>
      <c r="Y956" s="63"/>
    </row>
    <row r="957" spans="23:25">
      <c r="W957" s="63"/>
      <c r="X957" s="63"/>
      <c r="Y957" s="63"/>
    </row>
    <row r="958" spans="23:25">
      <c r="W958" s="63"/>
      <c r="X958" s="63"/>
      <c r="Y958" s="63"/>
    </row>
    <row r="959" spans="23:25">
      <c r="W959" s="63"/>
      <c r="X959" s="63"/>
      <c r="Y959" s="63"/>
    </row>
    <row r="960" spans="23:25">
      <c r="W960" s="63"/>
      <c r="X960" s="63"/>
      <c r="Y960" s="63"/>
    </row>
    <row r="961" spans="23:25">
      <c r="W961" s="63"/>
      <c r="X961" s="63"/>
      <c r="Y961" s="63"/>
    </row>
    <row r="962" spans="23:25">
      <c r="W962" s="63"/>
      <c r="X962" s="63"/>
      <c r="Y962" s="63"/>
    </row>
    <row r="963" spans="23:25">
      <c r="W963" s="63"/>
      <c r="X963" s="63"/>
      <c r="Y963" s="63"/>
    </row>
    <row r="964" spans="23:25">
      <c r="W964" s="63"/>
      <c r="X964" s="63"/>
      <c r="Y964" s="63"/>
    </row>
    <row r="965" spans="23:25">
      <c r="W965" s="63"/>
      <c r="X965" s="63"/>
      <c r="Y965" s="63"/>
    </row>
    <row r="966" spans="23:25">
      <c r="W966" s="63"/>
      <c r="X966" s="63"/>
      <c r="Y966" s="63"/>
    </row>
    <row r="967" spans="23:25">
      <c r="W967" s="63"/>
      <c r="X967" s="63"/>
      <c r="Y967" s="63"/>
    </row>
    <row r="968" spans="23:25">
      <c r="W968" s="63"/>
      <c r="X968" s="63"/>
      <c r="Y968" s="63"/>
    </row>
    <row r="969" spans="23:25">
      <c r="W969" s="63"/>
      <c r="X969" s="63"/>
      <c r="Y969" s="63"/>
    </row>
    <row r="970" spans="23:25">
      <c r="W970" s="63"/>
      <c r="X970" s="63"/>
      <c r="Y970" s="63"/>
    </row>
    <row r="971" spans="23:25">
      <c r="W971" s="63"/>
      <c r="X971" s="63"/>
      <c r="Y971" s="63"/>
    </row>
    <row r="972" spans="23:25">
      <c r="W972" s="63"/>
      <c r="X972" s="63"/>
      <c r="Y972" s="63"/>
    </row>
    <row r="973" spans="23:25">
      <c r="W973" s="63"/>
      <c r="X973" s="63"/>
      <c r="Y973" s="63"/>
    </row>
    <row r="974" spans="23:25">
      <c r="W974" s="63"/>
      <c r="X974" s="63"/>
      <c r="Y974" s="63"/>
    </row>
    <row r="975" spans="23:25">
      <c r="W975" s="63"/>
      <c r="X975" s="63"/>
      <c r="Y975" s="63"/>
    </row>
    <row r="976" spans="23:25">
      <c r="W976" s="63"/>
      <c r="X976" s="63"/>
      <c r="Y976" s="63"/>
    </row>
    <row r="977" spans="23:25">
      <c r="W977" s="63"/>
      <c r="X977" s="63"/>
      <c r="Y977" s="63"/>
    </row>
    <row r="978" spans="23:25">
      <c r="W978" s="63"/>
      <c r="X978" s="63"/>
      <c r="Y978" s="63"/>
    </row>
    <row r="979" spans="23:25">
      <c r="W979" s="63"/>
      <c r="X979" s="63"/>
      <c r="Y979" s="63"/>
    </row>
    <row r="980" spans="23:25">
      <c r="W980" s="63"/>
      <c r="X980" s="63"/>
      <c r="Y980" s="63"/>
    </row>
    <row r="981" spans="23:25">
      <c r="W981" s="63"/>
      <c r="X981" s="63"/>
      <c r="Y981" s="63"/>
    </row>
    <row r="982" spans="23:25">
      <c r="W982" s="63"/>
      <c r="X982" s="63"/>
      <c r="Y982" s="63"/>
    </row>
    <row r="983" spans="23:25">
      <c r="W983" s="63"/>
      <c r="X983" s="63"/>
      <c r="Y983" s="63"/>
    </row>
    <row r="984" spans="23:25">
      <c r="W984" s="63"/>
      <c r="X984" s="63"/>
      <c r="Y984" s="63"/>
    </row>
    <row r="985" spans="23:25">
      <c r="W985" s="63"/>
      <c r="X985" s="63"/>
      <c r="Y985" s="63"/>
    </row>
    <row r="986" spans="23:25">
      <c r="W986" s="63"/>
      <c r="X986" s="63"/>
      <c r="Y986" s="63"/>
    </row>
    <row r="987" spans="23:25">
      <c r="W987" s="63"/>
      <c r="X987" s="63"/>
      <c r="Y987" s="63"/>
    </row>
    <row r="988" spans="23:25">
      <c r="W988" s="63"/>
      <c r="X988" s="63"/>
      <c r="Y988" s="63"/>
    </row>
    <row r="989" spans="23:25">
      <c r="W989" s="63"/>
      <c r="X989" s="63"/>
      <c r="Y989" s="63"/>
    </row>
    <row r="990" spans="23:25">
      <c r="W990" s="63"/>
      <c r="X990" s="63"/>
      <c r="Y990" s="63"/>
    </row>
    <row r="991" spans="23:25">
      <c r="W991" s="63"/>
      <c r="X991" s="63"/>
      <c r="Y991" s="63"/>
    </row>
    <row r="992" spans="23:25">
      <c r="W992" s="63"/>
      <c r="X992" s="63"/>
      <c r="Y992" s="63"/>
    </row>
    <row r="993" spans="23:25">
      <c r="W993" s="63"/>
      <c r="X993" s="63"/>
      <c r="Y993" s="63"/>
    </row>
    <row r="994" spans="23:25">
      <c r="W994" s="63"/>
      <c r="X994" s="63"/>
      <c r="Y994" s="63"/>
    </row>
    <row r="995" spans="23:25">
      <c r="W995" s="63"/>
      <c r="X995" s="63"/>
      <c r="Y995" s="63"/>
    </row>
    <row r="996" spans="23:25">
      <c r="W996" s="63"/>
      <c r="X996" s="63"/>
      <c r="Y996" s="63"/>
    </row>
    <row r="997" spans="23:25">
      <c r="W997" s="63"/>
      <c r="X997" s="63"/>
      <c r="Y997" s="63"/>
    </row>
    <row r="998" spans="23:25">
      <c r="W998" s="63"/>
      <c r="X998" s="63"/>
      <c r="Y998" s="63"/>
    </row>
    <row r="999" spans="23:25">
      <c r="W999" s="63"/>
      <c r="X999" s="63"/>
      <c r="Y999" s="63"/>
    </row>
    <row r="1000" spans="23:25">
      <c r="W1000" s="63"/>
      <c r="X1000" s="63"/>
      <c r="Y1000" s="63"/>
    </row>
    <row r="1001" spans="23:25">
      <c r="W1001" s="63"/>
      <c r="X1001" s="63"/>
      <c r="Y1001" s="63"/>
    </row>
    <row r="1002" spans="23:25">
      <c r="W1002" s="63"/>
      <c r="X1002" s="63"/>
      <c r="Y1002" s="63"/>
    </row>
    <row r="1003" spans="23:25">
      <c r="W1003" s="63"/>
      <c r="X1003" s="63"/>
      <c r="Y1003" s="63"/>
    </row>
    <row r="1004" spans="23:25">
      <c r="W1004" s="63"/>
      <c r="X1004" s="63"/>
      <c r="Y1004" s="63"/>
    </row>
    <row r="1005" spans="23:25">
      <c r="W1005" s="63"/>
      <c r="X1005" s="63"/>
      <c r="Y1005" s="63"/>
    </row>
    <row r="1006" spans="23:25">
      <c r="W1006" s="63"/>
      <c r="X1006" s="63"/>
      <c r="Y1006" s="63"/>
    </row>
    <row r="1007" spans="23:25">
      <c r="W1007" s="63"/>
      <c r="X1007" s="63"/>
      <c r="Y1007" s="63"/>
    </row>
    <row r="1008" spans="23:25">
      <c r="W1008" s="63"/>
      <c r="X1008" s="63"/>
      <c r="Y1008" s="63"/>
    </row>
    <row r="1009" spans="23:25">
      <c r="W1009" s="63"/>
      <c r="X1009" s="63"/>
      <c r="Y1009" s="63"/>
    </row>
    <row r="1010" spans="23:25">
      <c r="W1010" s="63"/>
      <c r="X1010" s="63"/>
      <c r="Y1010" s="63"/>
    </row>
    <row r="1011" spans="23:25">
      <c r="W1011" s="63"/>
      <c r="X1011" s="63"/>
      <c r="Y1011" s="63"/>
    </row>
    <row r="1012" spans="23:25">
      <c r="W1012" s="63"/>
      <c r="X1012" s="63"/>
      <c r="Y1012" s="63"/>
    </row>
    <row r="1013" spans="23:25">
      <c r="W1013" s="63"/>
      <c r="X1013" s="63"/>
      <c r="Y1013" s="63"/>
    </row>
    <row r="1014" spans="23:25">
      <c r="W1014" s="63"/>
      <c r="X1014" s="63"/>
      <c r="Y1014" s="63"/>
    </row>
    <row r="1015" spans="23:25">
      <c r="W1015" s="63"/>
      <c r="X1015" s="63"/>
      <c r="Y1015" s="63"/>
    </row>
    <row r="1016" spans="23:25">
      <c r="W1016" s="63"/>
      <c r="X1016" s="63"/>
      <c r="Y1016" s="63"/>
    </row>
    <row r="1017" spans="23:25">
      <c r="W1017" s="63"/>
      <c r="X1017" s="63"/>
      <c r="Y1017" s="63"/>
    </row>
    <row r="1018" spans="23:25">
      <c r="W1018" s="63"/>
      <c r="X1018" s="63"/>
      <c r="Y1018" s="63"/>
    </row>
    <row r="1019" spans="23:25">
      <c r="W1019" s="63"/>
      <c r="X1019" s="63"/>
      <c r="Y1019" s="63"/>
    </row>
    <row r="1020" spans="23:25">
      <c r="W1020" s="63"/>
      <c r="X1020" s="63"/>
      <c r="Y1020" s="63"/>
    </row>
    <row r="1021" spans="23:25">
      <c r="W1021" s="63"/>
      <c r="X1021" s="63"/>
      <c r="Y1021" s="63"/>
    </row>
    <row r="1022" spans="23:25">
      <c r="W1022" s="63"/>
      <c r="X1022" s="63"/>
      <c r="Y1022" s="63"/>
    </row>
    <row r="1023" spans="23:25">
      <c r="W1023" s="63"/>
      <c r="X1023" s="63"/>
      <c r="Y1023" s="63"/>
    </row>
    <row r="1024" spans="23:25">
      <c r="W1024" s="63"/>
      <c r="X1024" s="63"/>
      <c r="Y1024" s="63"/>
    </row>
    <row r="1025" spans="23:25">
      <c r="W1025" s="63"/>
      <c r="X1025" s="63"/>
      <c r="Y1025" s="63"/>
    </row>
    <row r="1026" spans="23:25">
      <c r="W1026" s="63"/>
      <c r="X1026" s="63"/>
      <c r="Y1026" s="63"/>
    </row>
    <row r="1027" spans="23:25">
      <c r="W1027" s="63"/>
      <c r="X1027" s="63"/>
      <c r="Y1027" s="63"/>
    </row>
    <row r="1028" spans="23:25">
      <c r="W1028" s="63"/>
      <c r="X1028" s="63"/>
      <c r="Y1028" s="63"/>
    </row>
    <row r="1029" spans="23:25">
      <c r="W1029" s="63"/>
      <c r="X1029" s="63"/>
      <c r="Y1029" s="63"/>
    </row>
    <row r="1030" spans="23:25">
      <c r="W1030" s="63"/>
      <c r="X1030" s="63"/>
      <c r="Y1030" s="63"/>
    </row>
    <row r="1031" spans="23:25">
      <c r="W1031" s="63"/>
      <c r="X1031" s="63"/>
      <c r="Y1031" s="63"/>
    </row>
    <row r="1032" spans="23:25">
      <c r="W1032" s="63"/>
      <c r="X1032" s="63"/>
      <c r="Y1032" s="63"/>
    </row>
    <row r="1033" spans="23:25">
      <c r="W1033" s="63"/>
      <c r="X1033" s="63"/>
      <c r="Y1033" s="63"/>
    </row>
    <row r="1034" spans="23:25">
      <c r="W1034" s="63"/>
      <c r="X1034" s="63"/>
      <c r="Y1034" s="63"/>
    </row>
    <row r="1035" spans="23:25">
      <c r="W1035" s="63"/>
      <c r="X1035" s="63"/>
      <c r="Y1035" s="63"/>
    </row>
    <row r="1036" spans="23:25">
      <c r="W1036" s="63"/>
      <c r="X1036" s="63"/>
      <c r="Y1036" s="63"/>
    </row>
    <row r="1037" spans="23:25">
      <c r="W1037" s="63"/>
      <c r="X1037" s="63"/>
      <c r="Y1037" s="63"/>
    </row>
    <row r="1038" spans="23:25">
      <c r="W1038" s="63"/>
      <c r="X1038" s="63"/>
      <c r="Y1038" s="63"/>
    </row>
    <row r="1039" spans="23:25">
      <c r="W1039" s="63"/>
      <c r="X1039" s="63"/>
      <c r="Y1039" s="63"/>
    </row>
    <row r="1040" spans="23:25">
      <c r="W1040" s="63"/>
      <c r="X1040" s="63"/>
      <c r="Y1040" s="63"/>
    </row>
    <row r="1041" spans="23:25">
      <c r="W1041" s="63"/>
      <c r="X1041" s="63"/>
      <c r="Y1041" s="63"/>
    </row>
    <row r="1042" spans="23:25">
      <c r="W1042" s="63"/>
      <c r="X1042" s="63"/>
      <c r="Y1042" s="63"/>
    </row>
    <row r="1043" spans="23:25">
      <c r="W1043" s="63"/>
      <c r="X1043" s="63"/>
      <c r="Y1043" s="63"/>
    </row>
    <row r="1044" spans="23:25">
      <c r="W1044" s="63"/>
      <c r="X1044" s="63"/>
      <c r="Y1044" s="63"/>
    </row>
    <row r="1045" spans="23:25">
      <c r="W1045" s="63"/>
      <c r="X1045" s="63"/>
      <c r="Y1045" s="63"/>
    </row>
    <row r="1046" spans="23:25">
      <c r="W1046" s="63"/>
      <c r="X1046" s="63"/>
      <c r="Y1046" s="63"/>
    </row>
    <row r="1047" spans="23:25">
      <c r="W1047" s="63"/>
      <c r="X1047" s="63"/>
      <c r="Y1047" s="63"/>
    </row>
    <row r="1048" spans="23:25">
      <c r="W1048" s="63"/>
      <c r="X1048" s="63"/>
      <c r="Y1048" s="63"/>
    </row>
    <row r="1049" spans="23:25">
      <c r="W1049" s="63"/>
      <c r="X1049" s="63"/>
      <c r="Y1049" s="63"/>
    </row>
    <row r="1050" spans="23:25">
      <c r="W1050" s="63"/>
      <c r="X1050" s="63"/>
      <c r="Y1050" s="63"/>
    </row>
    <row r="1051" spans="23:25">
      <c r="W1051" s="63"/>
      <c r="X1051" s="63"/>
      <c r="Y1051" s="63"/>
    </row>
    <row r="1052" spans="23:25">
      <c r="W1052" s="63"/>
      <c r="X1052" s="63"/>
      <c r="Y1052" s="63"/>
    </row>
    <row r="1053" spans="23:25">
      <c r="W1053" s="63"/>
      <c r="X1053" s="63"/>
      <c r="Y1053" s="63"/>
    </row>
    <row r="1054" spans="23:25">
      <c r="W1054" s="63"/>
      <c r="X1054" s="63"/>
      <c r="Y1054" s="63"/>
    </row>
    <row r="1055" spans="23:25">
      <c r="W1055" s="63"/>
      <c r="X1055" s="63"/>
      <c r="Y1055" s="63"/>
    </row>
    <row r="1056" spans="23:25">
      <c r="W1056" s="63"/>
      <c r="X1056" s="63"/>
      <c r="Y1056" s="63"/>
    </row>
    <row r="1057" spans="23:25">
      <c r="W1057" s="63"/>
      <c r="X1057" s="63"/>
      <c r="Y1057" s="63"/>
    </row>
    <row r="1058" spans="23:25">
      <c r="W1058" s="63"/>
      <c r="X1058" s="63"/>
      <c r="Y1058" s="63"/>
    </row>
    <row r="1059" spans="23:25">
      <c r="W1059" s="63"/>
      <c r="X1059" s="63"/>
      <c r="Y1059" s="63"/>
    </row>
    <row r="1060" spans="23:25">
      <c r="W1060" s="63"/>
      <c r="X1060" s="63"/>
      <c r="Y1060" s="63"/>
    </row>
    <row r="1061" spans="23:25">
      <c r="W1061" s="63"/>
      <c r="X1061" s="63"/>
      <c r="Y1061" s="63"/>
    </row>
    <row r="1062" spans="23:25">
      <c r="W1062" s="63"/>
      <c r="X1062" s="63"/>
      <c r="Y1062" s="63"/>
    </row>
    <row r="1063" spans="23:25">
      <c r="W1063" s="63"/>
      <c r="X1063" s="63"/>
      <c r="Y1063" s="63"/>
    </row>
    <row r="1064" spans="23:25">
      <c r="W1064" s="63"/>
      <c r="X1064" s="63"/>
      <c r="Y1064" s="63"/>
    </row>
    <row r="1065" spans="23:25">
      <c r="W1065" s="63"/>
      <c r="X1065" s="63"/>
      <c r="Y1065" s="63"/>
    </row>
    <row r="1066" spans="23:25">
      <c r="W1066" s="63"/>
      <c r="X1066" s="63"/>
      <c r="Y1066" s="63"/>
    </row>
    <row r="1067" spans="23:25">
      <c r="W1067" s="63"/>
      <c r="X1067" s="63"/>
      <c r="Y1067" s="63"/>
    </row>
    <row r="1068" spans="23:25">
      <c r="W1068" s="63"/>
      <c r="X1068" s="63"/>
      <c r="Y1068" s="63"/>
    </row>
    <row r="1069" spans="23:25">
      <c r="W1069" s="63"/>
      <c r="X1069" s="63"/>
      <c r="Y1069" s="63"/>
    </row>
    <row r="1070" spans="23:25">
      <c r="W1070" s="63"/>
      <c r="X1070" s="63"/>
      <c r="Y1070" s="63"/>
    </row>
    <row r="1071" spans="23:25">
      <c r="W1071" s="63"/>
      <c r="X1071" s="63"/>
      <c r="Y1071" s="63"/>
    </row>
    <row r="1072" spans="23:25">
      <c r="W1072" s="63"/>
      <c r="X1072" s="63"/>
      <c r="Y1072" s="63"/>
    </row>
    <row r="1073" spans="23:25">
      <c r="W1073" s="63"/>
      <c r="X1073" s="63"/>
      <c r="Y1073" s="63"/>
    </row>
    <row r="1074" spans="23:25">
      <c r="W1074" s="63"/>
      <c r="X1074" s="63"/>
      <c r="Y1074" s="63"/>
    </row>
    <row r="1075" spans="23:25">
      <c r="W1075" s="63"/>
      <c r="X1075" s="63"/>
      <c r="Y1075" s="63"/>
    </row>
    <row r="1076" spans="23:25">
      <c r="W1076" s="63"/>
      <c r="X1076" s="63"/>
      <c r="Y1076" s="63"/>
    </row>
    <row r="1077" spans="23:25">
      <c r="W1077" s="63"/>
      <c r="X1077" s="63"/>
      <c r="Y1077" s="63"/>
    </row>
    <row r="1078" spans="23:25">
      <c r="W1078" s="63"/>
      <c r="X1078" s="63"/>
      <c r="Y1078" s="63"/>
    </row>
    <row r="1079" spans="23:25">
      <c r="W1079" s="63"/>
      <c r="X1079" s="63"/>
      <c r="Y1079" s="63"/>
    </row>
    <row r="1080" spans="23:25">
      <c r="W1080" s="63"/>
      <c r="X1080" s="63"/>
      <c r="Y1080" s="63"/>
    </row>
    <row r="1081" spans="23:25">
      <c r="W1081" s="63"/>
      <c r="X1081" s="63"/>
      <c r="Y1081" s="63"/>
    </row>
    <row r="1082" spans="23:25">
      <c r="W1082" s="63"/>
      <c r="X1082" s="63"/>
      <c r="Y1082" s="63"/>
    </row>
    <row r="1083" spans="23:25">
      <c r="W1083" s="63"/>
      <c r="X1083" s="63"/>
      <c r="Y1083" s="63"/>
    </row>
    <row r="1084" spans="23:25">
      <c r="W1084" s="63"/>
      <c r="X1084" s="63"/>
      <c r="Y1084" s="63"/>
    </row>
    <row r="1085" spans="23:25">
      <c r="W1085" s="63"/>
      <c r="X1085" s="63"/>
      <c r="Y1085" s="63"/>
    </row>
    <row r="1086" spans="23:25">
      <c r="W1086" s="63"/>
      <c r="X1086" s="63"/>
      <c r="Y1086" s="63"/>
    </row>
    <row r="1087" spans="23:25">
      <c r="W1087" s="63"/>
      <c r="X1087" s="63"/>
      <c r="Y1087" s="63"/>
    </row>
    <row r="1088" spans="23:25">
      <c r="W1088" s="63"/>
      <c r="X1088" s="63"/>
      <c r="Y1088" s="63"/>
    </row>
    <row r="1089" spans="23:25">
      <c r="W1089" s="63"/>
      <c r="X1089" s="63"/>
      <c r="Y1089" s="63"/>
    </row>
    <row r="1090" spans="23:25">
      <c r="W1090" s="63"/>
      <c r="X1090" s="63"/>
      <c r="Y1090" s="63"/>
    </row>
    <row r="1091" spans="23:25">
      <c r="W1091" s="63"/>
      <c r="X1091" s="63"/>
      <c r="Y1091" s="63"/>
    </row>
    <row r="1092" spans="23:25">
      <c r="W1092" s="63"/>
      <c r="X1092" s="63"/>
      <c r="Y1092" s="63"/>
    </row>
    <row r="1093" spans="23:25">
      <c r="W1093" s="63"/>
      <c r="X1093" s="63"/>
      <c r="Y1093" s="63"/>
    </row>
    <row r="1094" spans="23:25">
      <c r="W1094" s="63"/>
      <c r="X1094" s="63"/>
      <c r="Y1094" s="63"/>
    </row>
    <row r="1095" spans="23:25">
      <c r="W1095" s="63"/>
      <c r="X1095" s="63"/>
      <c r="Y1095" s="63"/>
    </row>
    <row r="1096" spans="23:25">
      <c r="W1096" s="63"/>
      <c r="X1096" s="63"/>
      <c r="Y1096" s="63"/>
    </row>
    <row r="1097" spans="23:25">
      <c r="W1097" s="63"/>
      <c r="X1097" s="63"/>
      <c r="Y1097" s="63"/>
    </row>
    <row r="1098" spans="23:25">
      <c r="W1098" s="63"/>
      <c r="X1098" s="63"/>
      <c r="Y1098" s="63"/>
    </row>
    <row r="1099" spans="23:25">
      <c r="W1099" s="63"/>
      <c r="X1099" s="63"/>
      <c r="Y1099" s="63"/>
    </row>
    <row r="1100" spans="23:25">
      <c r="W1100" s="63"/>
      <c r="X1100" s="63"/>
      <c r="Y1100" s="63"/>
    </row>
    <row r="1101" spans="23:25">
      <c r="W1101" s="63"/>
      <c r="X1101" s="63"/>
      <c r="Y1101" s="63"/>
    </row>
    <row r="1102" spans="23:25">
      <c r="W1102" s="63"/>
      <c r="X1102" s="63"/>
      <c r="Y1102" s="63"/>
    </row>
    <row r="1103" spans="23:25">
      <c r="W1103" s="63"/>
      <c r="X1103" s="63"/>
      <c r="Y1103" s="63"/>
    </row>
    <row r="1104" spans="23:25">
      <c r="W1104" s="63"/>
      <c r="X1104" s="63"/>
      <c r="Y1104" s="63"/>
    </row>
    <row r="1105" spans="23:25">
      <c r="W1105" s="63"/>
      <c r="X1105" s="63"/>
      <c r="Y1105" s="63"/>
    </row>
    <row r="1106" spans="23:25">
      <c r="W1106" s="63"/>
      <c r="X1106" s="63"/>
      <c r="Y1106" s="63"/>
    </row>
    <row r="1107" spans="23:25">
      <c r="W1107" s="63"/>
      <c r="X1107" s="63"/>
      <c r="Y1107" s="63"/>
    </row>
    <row r="1108" spans="23:25">
      <c r="W1108" s="63"/>
      <c r="X1108" s="63"/>
      <c r="Y1108" s="63"/>
    </row>
    <row r="1109" spans="23:25">
      <c r="W1109" s="63"/>
      <c r="X1109" s="63"/>
      <c r="Y1109" s="63"/>
    </row>
    <row r="1110" spans="23:25">
      <c r="W1110" s="63"/>
      <c r="X1110" s="63"/>
      <c r="Y1110" s="63"/>
    </row>
    <row r="1111" spans="23:25">
      <c r="W1111" s="63"/>
      <c r="X1111" s="63"/>
      <c r="Y1111" s="63"/>
    </row>
    <row r="1112" spans="23:25">
      <c r="W1112" s="63"/>
      <c r="X1112" s="63"/>
      <c r="Y1112" s="63"/>
    </row>
    <row r="1113" spans="23:25">
      <c r="W1113" s="63"/>
      <c r="X1113" s="63"/>
      <c r="Y1113" s="63"/>
    </row>
    <row r="1114" spans="23:25">
      <c r="W1114" s="63"/>
      <c r="X1114" s="63"/>
      <c r="Y1114" s="63"/>
    </row>
    <row r="1115" spans="23:25">
      <c r="W1115" s="63"/>
      <c r="X1115" s="63"/>
      <c r="Y1115" s="63"/>
    </row>
    <row r="1116" spans="23:25">
      <c r="W1116" s="63"/>
      <c r="X1116" s="63"/>
      <c r="Y1116" s="63"/>
    </row>
    <row r="1117" spans="23:25">
      <c r="W1117" s="63"/>
      <c r="X1117" s="63"/>
      <c r="Y1117" s="63"/>
    </row>
    <row r="1118" spans="23:25">
      <c r="W1118" s="63"/>
      <c r="X1118" s="63"/>
      <c r="Y1118" s="63"/>
    </row>
    <row r="1119" spans="23:25">
      <c r="W1119" s="63"/>
      <c r="X1119" s="63"/>
      <c r="Y1119" s="63"/>
    </row>
    <row r="1120" spans="23:25">
      <c r="W1120" s="63"/>
      <c r="X1120" s="63"/>
      <c r="Y1120" s="63"/>
    </row>
    <row r="1121" spans="23:25">
      <c r="W1121" s="63"/>
      <c r="X1121" s="63"/>
      <c r="Y1121" s="63"/>
    </row>
    <row r="1122" spans="23:25">
      <c r="W1122" s="63"/>
      <c r="X1122" s="63"/>
      <c r="Y1122" s="63"/>
    </row>
    <row r="1123" spans="23:25">
      <c r="W1123" s="63"/>
      <c r="X1123" s="63"/>
      <c r="Y1123" s="63"/>
    </row>
    <row r="1124" spans="23:25">
      <c r="W1124" s="63"/>
      <c r="X1124" s="63"/>
      <c r="Y1124" s="63"/>
    </row>
    <row r="1125" spans="23:25">
      <c r="W1125" s="63"/>
      <c r="X1125" s="63"/>
      <c r="Y1125" s="63"/>
    </row>
    <row r="1126" spans="23:25">
      <c r="W1126" s="63"/>
      <c r="X1126" s="63"/>
      <c r="Y1126" s="63"/>
    </row>
    <row r="1127" spans="23:25">
      <c r="W1127" s="63"/>
      <c r="X1127" s="63"/>
      <c r="Y1127" s="63"/>
    </row>
    <row r="1128" spans="23:25">
      <c r="W1128" s="63"/>
      <c r="X1128" s="63"/>
      <c r="Y1128" s="63"/>
    </row>
    <row r="1129" spans="23:25">
      <c r="W1129" s="63"/>
      <c r="X1129" s="63"/>
      <c r="Y1129" s="63"/>
    </row>
    <row r="1130" spans="23:25">
      <c r="W1130" s="63"/>
      <c r="X1130" s="63"/>
      <c r="Y1130" s="63"/>
    </row>
    <row r="1131" spans="23:25">
      <c r="W1131" s="63"/>
      <c r="X1131" s="63"/>
      <c r="Y1131" s="63"/>
    </row>
    <row r="1132" spans="23:25">
      <c r="W1132" s="63"/>
      <c r="X1132" s="63"/>
      <c r="Y1132" s="63"/>
    </row>
    <row r="1133" spans="23:25">
      <c r="W1133" s="63"/>
      <c r="X1133" s="63"/>
      <c r="Y1133" s="63"/>
    </row>
    <row r="1134" spans="23:25">
      <c r="W1134" s="63"/>
      <c r="X1134" s="63"/>
      <c r="Y1134" s="63"/>
    </row>
    <row r="1135" spans="23:25">
      <c r="W1135" s="63"/>
      <c r="X1135" s="63"/>
      <c r="Y1135" s="63"/>
    </row>
    <row r="1136" spans="23:25">
      <c r="W1136" s="63"/>
      <c r="X1136" s="63"/>
      <c r="Y1136" s="63"/>
    </row>
    <row r="1137" spans="23:25">
      <c r="W1137" s="63"/>
      <c r="X1137" s="63"/>
      <c r="Y1137" s="63"/>
    </row>
    <row r="1138" spans="23:25">
      <c r="W1138" s="63"/>
      <c r="X1138" s="63"/>
      <c r="Y1138" s="63"/>
    </row>
    <row r="1139" spans="23:25">
      <c r="W1139" s="63"/>
      <c r="X1139" s="63"/>
      <c r="Y1139" s="63"/>
    </row>
    <row r="1140" spans="23:25">
      <c r="W1140" s="63"/>
      <c r="X1140" s="63"/>
      <c r="Y1140" s="63"/>
    </row>
    <row r="1141" spans="23:25">
      <c r="W1141" s="63"/>
      <c r="X1141" s="63"/>
      <c r="Y1141" s="63"/>
    </row>
    <row r="1142" spans="23:25">
      <c r="W1142" s="63"/>
      <c r="X1142" s="63"/>
      <c r="Y1142" s="63"/>
    </row>
    <row r="3721" spans="9:9">
      <c r="I3721" s="30">
        <v>0</v>
      </c>
    </row>
    <row r="3722" spans="9:9">
      <c r="I3722" s="30">
        <v>0</v>
      </c>
    </row>
  </sheetData>
  <mergeCells count="1">
    <mergeCell ref="AQ8:AT8"/>
  </mergeCells>
  <phoneticPr fontId="0" type="noConversion"/>
  <hyperlinks>
    <hyperlink ref="K147" r:id="rId1"/>
  </hyperlinks>
  <printOptions gridLines="1" gridLinesSet="0"/>
  <pageMargins left="0.75" right="0.75" top="1" bottom="1" header="0.5" footer="0.5"/>
  <pageSetup paperSize="9" scale="10" orientation="landscape" horizontalDpi="4294967292" verticalDpi="180" r:id="rId2"/>
  <headerFooter alignWithMargins="0">
    <oddHeader>&amp;A</oddHeader>
    <oddFooter>Page &amp;P</oddFooter>
  </headerFooter>
  <ignoredErrors>
    <ignoredError sqref="W25 AH25" formula="1"/>
    <ignoredError sqref="AF34" evalError="1"/>
  </ignoredError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>
    <tabColor rgb="FF006600"/>
    <pageSetUpPr fitToPage="1"/>
  </sheetPr>
  <dimension ref="A1:CH3722"/>
  <sheetViews>
    <sheetView zoomScaleNormal="100" zoomScaleSheetLayoutView="90" workbookViewId="0">
      <pane xSplit="2" ySplit="9" topLeftCell="C19" activePane="bottomRight" state="frozen"/>
      <selection activeCell="I36" activeCellId="7" sqref="AC3 O2 D36 B37 M35 B35 AD2:AI2 I36"/>
      <selection pane="topRight" activeCell="I36" activeCellId="7" sqref="AC3 O2 D36 B37 M35 B35 AD2:AI2 I36"/>
      <selection pane="bottomLeft" activeCell="I36" activeCellId="7" sqref="AC3 O2 D36 B37 M35 B35 AD2:AI2 I36"/>
      <selection pane="bottomRight" activeCell="A2" sqref="A2"/>
    </sheetView>
  </sheetViews>
  <sheetFormatPr defaultColWidth="9.140625" defaultRowHeight="12.75"/>
  <cols>
    <col min="1" max="1" width="9.140625" style="9"/>
    <col min="2" max="2" width="27.42578125" style="2" customWidth="1"/>
    <col min="3" max="3" width="8.28515625" style="32" customWidth="1"/>
    <col min="4" max="4" width="8.85546875" style="73" customWidth="1"/>
    <col min="5" max="5" width="9.5703125" style="32" customWidth="1"/>
    <col min="6" max="6" width="6.42578125" style="31" customWidth="1"/>
    <col min="7" max="7" width="6.7109375" style="32" customWidth="1"/>
    <col min="8" max="8" width="6.5703125" style="30" customWidth="1"/>
    <col min="9" max="9" width="6.42578125" style="30" customWidth="1"/>
    <col min="10" max="10" width="7.5703125" style="31" customWidth="1"/>
    <col min="11" max="11" width="6.28515625" style="30" customWidth="1"/>
    <col min="12" max="12" width="6" style="30" customWidth="1"/>
    <col min="13" max="13" width="5.7109375" style="31" customWidth="1"/>
    <col min="14" max="14" width="6" style="31" customWidth="1"/>
    <col min="15" max="16" width="5.5703125" style="31" customWidth="1"/>
    <col min="17" max="17" width="6.42578125" style="31" customWidth="1"/>
    <col min="18" max="18" width="7.140625" style="31" customWidth="1"/>
    <col min="19" max="19" width="5.5703125" style="31" customWidth="1"/>
    <col min="20" max="20" width="5.140625" style="31" customWidth="1"/>
    <col min="21" max="21" width="5.5703125" style="31" customWidth="1"/>
    <col min="22" max="22" width="11" style="31" customWidth="1"/>
    <col min="23" max="23" width="9.28515625" style="64" customWidth="1"/>
    <col min="24" max="24" width="7.140625" style="31" customWidth="1"/>
    <col min="25" max="31" width="9.28515625" style="31" customWidth="1"/>
    <col min="32" max="32" width="10.7109375" style="31" customWidth="1"/>
    <col min="33" max="33" width="10" style="31" customWidth="1"/>
    <col min="34" max="34" width="11" style="31" customWidth="1"/>
    <col min="35" max="35" width="8.85546875" style="84" customWidth="1"/>
    <col min="36" max="36" width="11.85546875" style="84" customWidth="1"/>
    <col min="37" max="37" width="15.42578125" style="31" customWidth="1"/>
    <col min="38" max="38" width="9.5703125" style="31" customWidth="1"/>
    <col min="39" max="39" width="12" style="31" customWidth="1"/>
    <col min="40" max="40" width="13.42578125" style="31" customWidth="1"/>
    <col min="41" max="41" width="15.140625" style="31" customWidth="1"/>
    <col min="42" max="42" width="10.7109375" style="31" customWidth="1"/>
    <col min="43" max="43" width="10.7109375" style="30" customWidth="1"/>
    <col min="44" max="44" width="11.140625" style="31" customWidth="1"/>
    <col min="45" max="45" width="10.7109375" style="31" customWidth="1"/>
    <col min="46" max="46" width="8.7109375" style="9" customWidth="1"/>
    <col min="47" max="47" width="42.42578125" style="9" customWidth="1"/>
    <col min="48" max="48" width="8.7109375" style="9" customWidth="1"/>
    <col min="49" max="49" width="16.42578125" style="74" customWidth="1"/>
    <col min="50" max="50" width="14.140625" style="74" customWidth="1"/>
    <col min="51" max="54" width="8.7109375" style="74" customWidth="1"/>
    <col min="55" max="58" width="13.5703125" style="74" customWidth="1"/>
    <col min="59" max="59" width="12.140625" style="74" bestFit="1" customWidth="1"/>
    <col min="60" max="61" width="11.140625" style="74" customWidth="1"/>
    <col min="62" max="62" width="14" style="74" customWidth="1"/>
    <col min="63" max="63" width="8.140625" style="74" customWidth="1"/>
    <col min="64" max="64" width="9.42578125" style="74" bestFit="1" customWidth="1"/>
    <col min="65" max="65" width="11.85546875" style="74" customWidth="1"/>
    <col min="66" max="66" width="10.42578125" style="74" customWidth="1"/>
    <col min="67" max="67" width="9.5703125" style="74" customWidth="1"/>
    <col min="68" max="69" width="8.7109375" style="74" customWidth="1"/>
    <col min="70" max="71" width="11.7109375" style="74" customWidth="1"/>
    <col min="72" max="72" width="16.85546875" style="9" customWidth="1"/>
    <col min="73" max="16384" width="9.140625" style="9"/>
  </cols>
  <sheetData>
    <row r="1" spans="1:86" s="10" customFormat="1" ht="13.5" thickBot="1">
      <c r="A1" s="72"/>
      <c r="B1" s="72"/>
      <c r="D1" s="94"/>
      <c r="V1" s="24"/>
      <c r="AI1" s="29"/>
      <c r="AJ1" s="29"/>
      <c r="AL1" s="9"/>
      <c r="AQ1" s="202"/>
      <c r="AU1" s="10" t="s">
        <v>84</v>
      </c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</row>
    <row r="2" spans="1:86" s="10" customFormat="1">
      <c r="A2" s="291"/>
      <c r="B2" s="408" t="s">
        <v>117</v>
      </c>
      <c r="C2" s="409">
        <f>COUNTIF(C10:C33,"&gt;0")</f>
        <v>0</v>
      </c>
      <c r="D2" s="409">
        <f>COUNTIF(D10:D33,"&gt;0")</f>
        <v>0</v>
      </c>
      <c r="E2" s="409">
        <f t="shared" ref="E2:AS2" si="0">COUNTIF(E10:E33,"&gt;0")</f>
        <v>0</v>
      </c>
      <c r="F2" s="409">
        <f>COUNTIF(F10:F33,"&gt;0")</f>
        <v>0</v>
      </c>
      <c r="G2" s="409">
        <f t="shared" si="0"/>
        <v>0</v>
      </c>
      <c r="H2" s="409">
        <f t="shared" si="0"/>
        <v>0</v>
      </c>
      <c r="I2" s="409">
        <f t="shared" si="0"/>
        <v>0</v>
      </c>
      <c r="J2" s="409">
        <f t="shared" si="0"/>
        <v>0</v>
      </c>
      <c r="K2" s="409">
        <f t="shared" si="0"/>
        <v>0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0</v>
      </c>
      <c r="P2" s="409">
        <f t="shared" si="0"/>
        <v>0</v>
      </c>
      <c r="Q2" s="409">
        <f t="shared" si="0"/>
        <v>0</v>
      </c>
      <c r="R2" s="409">
        <f t="shared" si="0"/>
        <v>0</v>
      </c>
      <c r="S2" s="409">
        <f t="shared" si="0"/>
        <v>0</v>
      </c>
      <c r="T2" s="409">
        <f t="shared" si="0"/>
        <v>0</v>
      </c>
      <c r="U2" s="409">
        <f t="shared" si="0"/>
        <v>0</v>
      </c>
      <c r="V2" s="409">
        <f t="shared" si="0"/>
        <v>0</v>
      </c>
      <c r="W2" s="409">
        <f t="shared" si="0"/>
        <v>0</v>
      </c>
      <c r="X2" s="409">
        <f t="shared" si="0"/>
        <v>0</v>
      </c>
      <c r="Y2" s="409">
        <f t="shared" si="0"/>
        <v>0</v>
      </c>
      <c r="Z2" s="409">
        <f t="shared" si="0"/>
        <v>0</v>
      </c>
      <c r="AA2" s="409">
        <f t="shared" si="0"/>
        <v>0</v>
      </c>
      <c r="AB2" s="409">
        <f t="shared" si="0"/>
        <v>0</v>
      </c>
      <c r="AC2" s="409">
        <f t="shared" si="0"/>
        <v>0</v>
      </c>
      <c r="AD2" s="409">
        <f t="shared" si="0"/>
        <v>0</v>
      </c>
      <c r="AE2" s="409">
        <f t="shared" si="0"/>
        <v>0</v>
      </c>
      <c r="AF2" s="409">
        <f t="shared" si="0"/>
        <v>0</v>
      </c>
      <c r="AG2" s="409">
        <f t="shared" si="0"/>
        <v>0</v>
      </c>
      <c r="AH2" s="409">
        <f t="shared" si="0"/>
        <v>0</v>
      </c>
      <c r="AI2" s="409">
        <f t="shared" si="0"/>
        <v>24</v>
      </c>
      <c r="AJ2" s="409">
        <f t="shared" si="0"/>
        <v>0</v>
      </c>
      <c r="AK2" s="409">
        <f t="shared" si="0"/>
        <v>0</v>
      </c>
      <c r="AL2" s="410"/>
      <c r="AM2" s="409">
        <f t="shared" si="0"/>
        <v>0</v>
      </c>
      <c r="AN2" s="409">
        <f t="shared" si="0"/>
        <v>0</v>
      </c>
      <c r="AO2" s="409">
        <f t="shared" si="0"/>
        <v>0</v>
      </c>
      <c r="AP2" s="409">
        <f t="shared" si="0"/>
        <v>0</v>
      </c>
      <c r="AQ2" s="409">
        <f t="shared" si="0"/>
        <v>0</v>
      </c>
      <c r="AR2" s="409">
        <f t="shared" si="0"/>
        <v>0</v>
      </c>
      <c r="AS2" s="409">
        <f t="shared" si="0"/>
        <v>0</v>
      </c>
      <c r="AU2" s="10" t="s">
        <v>36</v>
      </c>
      <c r="AW2" s="94"/>
      <c r="AX2" s="94"/>
      <c r="AY2" s="94"/>
      <c r="AZ2" s="94"/>
      <c r="BA2" s="94"/>
      <c r="BB2" s="94"/>
      <c r="BC2" s="409">
        <f t="shared" ref="BC2:BR2" si="1">COUNTIF(BC10:BC33,"&gt;0")</f>
        <v>0</v>
      </c>
      <c r="BD2" s="409">
        <f t="shared" si="1"/>
        <v>0</v>
      </c>
      <c r="BE2" s="409">
        <f t="shared" si="1"/>
        <v>0</v>
      </c>
      <c r="BF2" s="409">
        <f t="shared" si="1"/>
        <v>0</v>
      </c>
      <c r="BG2" s="409">
        <f t="shared" si="1"/>
        <v>0</v>
      </c>
      <c r="BH2" s="409">
        <f t="shared" si="1"/>
        <v>0</v>
      </c>
      <c r="BI2" s="409">
        <f t="shared" si="1"/>
        <v>0</v>
      </c>
      <c r="BJ2" s="409">
        <f t="shared" si="1"/>
        <v>0</v>
      </c>
      <c r="BK2" s="409">
        <f t="shared" si="1"/>
        <v>0</v>
      </c>
      <c r="BL2" s="409">
        <f t="shared" si="1"/>
        <v>0</v>
      </c>
      <c r="BM2" s="409">
        <f t="shared" si="1"/>
        <v>0</v>
      </c>
      <c r="BN2" s="409">
        <f t="shared" si="1"/>
        <v>0</v>
      </c>
      <c r="BO2" s="409">
        <f t="shared" si="1"/>
        <v>0</v>
      </c>
      <c r="BP2" s="409">
        <f t="shared" si="1"/>
        <v>0</v>
      </c>
      <c r="BQ2" s="409">
        <f t="shared" si="1"/>
        <v>0</v>
      </c>
      <c r="BR2" s="409">
        <f t="shared" si="1"/>
        <v>0</v>
      </c>
      <c r="BS2" s="409"/>
    </row>
    <row r="3" spans="1:86" s="10" customFormat="1">
      <c r="B3" s="411" t="s">
        <v>118</v>
      </c>
      <c r="C3" s="409" t="e">
        <f>STDEV(C10:C33)</f>
        <v>#DIV/0!</v>
      </c>
      <c r="D3" s="409" t="e">
        <f>STDEV(D10:D33)</f>
        <v>#DIV/0!</v>
      </c>
      <c r="E3" s="409" t="e">
        <f t="shared" ref="E3:AS3" si="2">STDEV(E10:E33)</f>
        <v>#DIV/0!</v>
      </c>
      <c r="F3" s="409" t="e">
        <f>STDEV(F10:F33)</f>
        <v>#DIV/0!</v>
      </c>
      <c r="G3" s="409" t="e">
        <f t="shared" si="2"/>
        <v>#DIV/0!</v>
      </c>
      <c r="H3" s="409" t="e">
        <f t="shared" si="2"/>
        <v>#DIV/0!</v>
      </c>
      <c r="I3" s="409" t="e">
        <f t="shared" si="2"/>
        <v>#DIV/0!</v>
      </c>
      <c r="J3" s="409" t="e">
        <f t="shared" si="2"/>
        <v>#DIV/0!</v>
      </c>
      <c r="K3" s="409" t="e">
        <f t="shared" si="2"/>
        <v>#DIV/0!</v>
      </c>
      <c r="L3" s="409" t="e">
        <f t="shared" si="2"/>
        <v>#DIV/0!</v>
      </c>
      <c r="M3" s="409" t="e">
        <f t="shared" si="2"/>
        <v>#DIV/0!</v>
      </c>
      <c r="N3" s="409" t="e">
        <f t="shared" si="2"/>
        <v>#DIV/0!</v>
      </c>
      <c r="O3" s="409" t="e">
        <f t="shared" si="2"/>
        <v>#DIV/0!</v>
      </c>
      <c r="P3" s="409" t="e">
        <f t="shared" si="2"/>
        <v>#DIV/0!</v>
      </c>
      <c r="Q3" s="409" t="e">
        <f t="shared" si="2"/>
        <v>#DIV/0!</v>
      </c>
      <c r="R3" s="409" t="e">
        <f t="shared" si="2"/>
        <v>#DIV/0!</v>
      </c>
      <c r="S3" s="409" t="e">
        <f t="shared" si="2"/>
        <v>#DIV/0!</v>
      </c>
      <c r="T3" s="409" t="e">
        <f t="shared" si="2"/>
        <v>#DIV/0!</v>
      </c>
      <c r="U3" s="409" t="e">
        <f t="shared" si="2"/>
        <v>#DIV/0!</v>
      </c>
      <c r="V3" s="409" t="e">
        <f t="shared" si="2"/>
        <v>#DIV/0!</v>
      </c>
      <c r="W3" s="409" t="e">
        <f t="shared" si="2"/>
        <v>#DIV/0!</v>
      </c>
      <c r="X3" s="409" t="e">
        <f t="shared" si="2"/>
        <v>#DIV/0!</v>
      </c>
      <c r="Y3" s="409" t="e">
        <f t="shared" si="2"/>
        <v>#DIV/0!</v>
      </c>
      <c r="Z3" s="409" t="e">
        <f t="shared" si="2"/>
        <v>#DIV/0!</v>
      </c>
      <c r="AA3" s="409" t="e">
        <f t="shared" si="2"/>
        <v>#DIV/0!</v>
      </c>
      <c r="AB3" s="409" t="e">
        <f t="shared" si="2"/>
        <v>#DIV/0!</v>
      </c>
      <c r="AC3" s="409" t="e">
        <f t="shared" si="2"/>
        <v>#DIV/0!</v>
      </c>
      <c r="AD3" s="409" t="e">
        <f t="shared" si="2"/>
        <v>#DIV/0!</v>
      </c>
      <c r="AE3" s="409" t="e">
        <f t="shared" si="2"/>
        <v>#DIV/0!</v>
      </c>
      <c r="AF3" s="409" t="e">
        <f t="shared" si="2"/>
        <v>#DIV/0!</v>
      </c>
      <c r="AG3" s="409" t="e">
        <f t="shared" si="2"/>
        <v>#DIV/0!</v>
      </c>
      <c r="AH3" s="409" t="e">
        <f t="shared" si="2"/>
        <v>#DIV/0!</v>
      </c>
      <c r="AI3" s="409">
        <f t="shared" si="2"/>
        <v>0</v>
      </c>
      <c r="AJ3" s="409" t="e">
        <f t="shared" si="2"/>
        <v>#DIV/0!</v>
      </c>
      <c r="AK3" s="409" t="e">
        <f t="shared" si="2"/>
        <v>#DIV/0!</v>
      </c>
      <c r="AL3" s="410"/>
      <c r="AM3" s="409" t="e">
        <f t="shared" si="2"/>
        <v>#DIV/0!</v>
      </c>
      <c r="AN3" s="409" t="e">
        <f t="shared" si="2"/>
        <v>#DIV/0!</v>
      </c>
      <c r="AO3" s="409" t="e">
        <f t="shared" si="2"/>
        <v>#DIV/0!</v>
      </c>
      <c r="AP3" s="409" t="e">
        <f t="shared" si="2"/>
        <v>#DIV/0!</v>
      </c>
      <c r="AQ3" s="409" t="e">
        <f t="shared" si="2"/>
        <v>#DIV/0!</v>
      </c>
      <c r="AR3" s="409" t="e">
        <f t="shared" si="2"/>
        <v>#DIV/0!</v>
      </c>
      <c r="AS3" s="409" t="e">
        <f t="shared" si="2"/>
        <v>#DIV/0!</v>
      </c>
      <c r="AW3" s="94"/>
      <c r="AX3" s="94"/>
      <c r="AY3" s="94"/>
      <c r="AZ3" s="94"/>
      <c r="BA3" s="94"/>
      <c r="BB3" s="94"/>
      <c r="BC3" s="409" t="e">
        <f t="shared" ref="BC3:BR3" si="3">STDEV(BC10:BC33)</f>
        <v>#DIV/0!</v>
      </c>
      <c r="BD3" s="409" t="e">
        <f t="shared" si="3"/>
        <v>#DIV/0!</v>
      </c>
      <c r="BE3" s="409" t="e">
        <f t="shared" si="3"/>
        <v>#DIV/0!</v>
      </c>
      <c r="BF3" s="409" t="e">
        <f t="shared" si="3"/>
        <v>#DIV/0!</v>
      </c>
      <c r="BG3" s="409" t="e">
        <f t="shared" si="3"/>
        <v>#DIV/0!</v>
      </c>
      <c r="BH3" s="409" t="e">
        <f t="shared" si="3"/>
        <v>#DIV/0!</v>
      </c>
      <c r="BI3" s="409" t="e">
        <f t="shared" si="3"/>
        <v>#DIV/0!</v>
      </c>
      <c r="BJ3" s="409" t="e">
        <f t="shared" si="3"/>
        <v>#DIV/0!</v>
      </c>
      <c r="BK3" s="409" t="e">
        <f t="shared" si="3"/>
        <v>#DIV/0!</v>
      </c>
      <c r="BL3" s="409" t="e">
        <f t="shared" si="3"/>
        <v>#DIV/0!</v>
      </c>
      <c r="BM3" s="409" t="e">
        <f t="shared" si="3"/>
        <v>#DIV/0!</v>
      </c>
      <c r="BN3" s="409" t="e">
        <f t="shared" si="3"/>
        <v>#DIV/0!</v>
      </c>
      <c r="BO3" s="409" t="e">
        <f t="shared" si="3"/>
        <v>#DIV/0!</v>
      </c>
      <c r="BP3" s="409" t="e">
        <f t="shared" si="3"/>
        <v>#DIV/0!</v>
      </c>
      <c r="BQ3" s="409" t="e">
        <f t="shared" si="3"/>
        <v>#DIV/0!</v>
      </c>
      <c r="BR3" s="409" t="e">
        <f t="shared" si="3"/>
        <v>#DIV/0!</v>
      </c>
      <c r="BS3" s="409"/>
      <c r="BT3" s="93"/>
      <c r="BU3" s="93"/>
      <c r="BV3" s="93"/>
      <c r="BW3" s="93"/>
      <c r="BX3" s="93"/>
      <c r="BY3" s="93"/>
      <c r="BZ3" s="93"/>
      <c r="CA3" s="93"/>
      <c r="CB3" s="93"/>
      <c r="CC3" s="93"/>
      <c r="CD3" s="93"/>
      <c r="CE3" s="93"/>
    </row>
    <row r="4" spans="1:86" s="10" customFormat="1">
      <c r="B4" s="411" t="s">
        <v>119</v>
      </c>
      <c r="C4" s="409" t="e">
        <f>AVERAGE(C10:C33)</f>
        <v>#DIV/0!</v>
      </c>
      <c r="D4" s="409" t="e">
        <f>AVERAGE(D10:D33)</f>
        <v>#DIV/0!</v>
      </c>
      <c r="E4" s="409" t="e">
        <f t="shared" ref="E4:AS4" si="4">AVERAGE(E10:E33)</f>
        <v>#DIV/0!</v>
      </c>
      <c r="F4" s="409" t="e">
        <f>AVERAGE(F10:F33)</f>
        <v>#DIV/0!</v>
      </c>
      <c r="G4" s="409" t="e">
        <f t="shared" si="4"/>
        <v>#DIV/0!</v>
      </c>
      <c r="H4" s="409" t="e">
        <f t="shared" si="4"/>
        <v>#DIV/0!</v>
      </c>
      <c r="I4" s="409" t="e">
        <f t="shared" si="4"/>
        <v>#DIV/0!</v>
      </c>
      <c r="J4" s="409" t="e">
        <f t="shared" si="4"/>
        <v>#DIV/0!</v>
      </c>
      <c r="K4" s="409" t="e">
        <f t="shared" si="4"/>
        <v>#DIV/0!</v>
      </c>
      <c r="L4" s="409" t="e">
        <f t="shared" si="4"/>
        <v>#DIV/0!</v>
      </c>
      <c r="M4" s="409" t="e">
        <f t="shared" si="4"/>
        <v>#DIV/0!</v>
      </c>
      <c r="N4" s="409" t="e">
        <f t="shared" si="4"/>
        <v>#DIV/0!</v>
      </c>
      <c r="O4" s="409" t="e">
        <f t="shared" si="4"/>
        <v>#DIV/0!</v>
      </c>
      <c r="P4" s="409" t="e">
        <f t="shared" si="4"/>
        <v>#DIV/0!</v>
      </c>
      <c r="Q4" s="409" t="e">
        <f t="shared" si="4"/>
        <v>#DIV/0!</v>
      </c>
      <c r="R4" s="409" t="e">
        <f t="shared" si="4"/>
        <v>#DIV/0!</v>
      </c>
      <c r="S4" s="409" t="e">
        <f t="shared" si="4"/>
        <v>#DIV/0!</v>
      </c>
      <c r="T4" s="409" t="e">
        <f t="shared" si="4"/>
        <v>#DIV/0!</v>
      </c>
      <c r="U4" s="409" t="e">
        <f t="shared" si="4"/>
        <v>#DIV/0!</v>
      </c>
      <c r="V4" s="409" t="e">
        <f t="shared" si="4"/>
        <v>#DIV/0!</v>
      </c>
      <c r="W4" s="409" t="e">
        <f t="shared" si="4"/>
        <v>#DIV/0!</v>
      </c>
      <c r="X4" s="409" t="e">
        <f t="shared" si="4"/>
        <v>#DIV/0!</v>
      </c>
      <c r="Y4" s="409" t="e">
        <f t="shared" si="4"/>
        <v>#DIV/0!</v>
      </c>
      <c r="Z4" s="409" t="e">
        <f t="shared" si="4"/>
        <v>#DIV/0!</v>
      </c>
      <c r="AA4" s="409" t="e">
        <f t="shared" si="4"/>
        <v>#DIV/0!</v>
      </c>
      <c r="AB4" s="409" t="e">
        <f t="shared" si="4"/>
        <v>#DIV/0!</v>
      </c>
      <c r="AC4" s="409" t="e">
        <f t="shared" si="4"/>
        <v>#DIV/0!</v>
      </c>
      <c r="AD4" s="409" t="e">
        <f t="shared" si="4"/>
        <v>#DIV/0!</v>
      </c>
      <c r="AE4" s="409" t="e">
        <f t="shared" si="4"/>
        <v>#DIV/0!</v>
      </c>
      <c r="AF4" s="409" t="e">
        <f t="shared" si="4"/>
        <v>#DIV/0!</v>
      </c>
      <c r="AG4" s="409" t="e">
        <f t="shared" si="4"/>
        <v>#DIV/0!</v>
      </c>
      <c r="AH4" s="409" t="e">
        <f t="shared" si="4"/>
        <v>#DIV/0!</v>
      </c>
      <c r="AI4" s="409">
        <f t="shared" si="4"/>
        <v>59</v>
      </c>
      <c r="AJ4" s="409" t="e">
        <f t="shared" si="4"/>
        <v>#DIV/0!</v>
      </c>
      <c r="AK4" s="409" t="e">
        <f t="shared" si="4"/>
        <v>#DIV/0!</v>
      </c>
      <c r="AL4" s="410"/>
      <c r="AM4" s="409" t="e">
        <f t="shared" si="4"/>
        <v>#DIV/0!</v>
      </c>
      <c r="AN4" s="409" t="e">
        <f t="shared" si="4"/>
        <v>#DIV/0!</v>
      </c>
      <c r="AO4" s="409" t="e">
        <f t="shared" si="4"/>
        <v>#DIV/0!</v>
      </c>
      <c r="AP4" s="409" t="e">
        <f t="shared" si="4"/>
        <v>#DIV/0!</v>
      </c>
      <c r="AQ4" s="409" t="e">
        <f t="shared" si="4"/>
        <v>#DIV/0!</v>
      </c>
      <c r="AR4" s="409" t="e">
        <f t="shared" si="4"/>
        <v>#DIV/0!</v>
      </c>
      <c r="AS4" s="409" t="e">
        <f t="shared" si="4"/>
        <v>#DIV/0!</v>
      </c>
      <c r="AW4" s="94"/>
      <c r="AX4" s="94"/>
      <c r="AY4" s="94"/>
      <c r="AZ4" s="94"/>
      <c r="BA4" s="94"/>
      <c r="BB4" s="94"/>
      <c r="BC4" s="409" t="e">
        <f t="shared" ref="BC4:BR4" si="5">AVERAGE(BC10:BC33)</f>
        <v>#DIV/0!</v>
      </c>
      <c r="BD4" s="409" t="e">
        <f t="shared" si="5"/>
        <v>#DIV/0!</v>
      </c>
      <c r="BE4" s="409" t="e">
        <f t="shared" si="5"/>
        <v>#DIV/0!</v>
      </c>
      <c r="BF4" s="409" t="e">
        <f t="shared" si="5"/>
        <v>#DIV/0!</v>
      </c>
      <c r="BG4" s="409" t="e">
        <f t="shared" si="5"/>
        <v>#DIV/0!</v>
      </c>
      <c r="BH4" s="409" t="e">
        <f t="shared" si="5"/>
        <v>#DIV/0!</v>
      </c>
      <c r="BI4" s="409" t="e">
        <f t="shared" si="5"/>
        <v>#DIV/0!</v>
      </c>
      <c r="BJ4" s="409" t="e">
        <f t="shared" si="5"/>
        <v>#DIV/0!</v>
      </c>
      <c r="BK4" s="409" t="e">
        <f t="shared" si="5"/>
        <v>#DIV/0!</v>
      </c>
      <c r="BL4" s="409" t="e">
        <f t="shared" si="5"/>
        <v>#DIV/0!</v>
      </c>
      <c r="BM4" s="409" t="e">
        <f t="shared" si="5"/>
        <v>#DIV/0!</v>
      </c>
      <c r="BN4" s="409" t="e">
        <f t="shared" si="5"/>
        <v>#DIV/0!</v>
      </c>
      <c r="BO4" s="409" t="e">
        <f t="shared" si="5"/>
        <v>#DIV/0!</v>
      </c>
      <c r="BP4" s="409" t="e">
        <f t="shared" si="5"/>
        <v>#DIV/0!</v>
      </c>
      <c r="BQ4" s="409" t="e">
        <f t="shared" si="5"/>
        <v>#DIV/0!</v>
      </c>
      <c r="BR4" s="409" t="e">
        <f t="shared" si="5"/>
        <v>#DIV/0!</v>
      </c>
      <c r="BS4" s="409"/>
      <c r="BT4" s="93"/>
      <c r="BU4" s="93"/>
      <c r="BV4" s="93"/>
      <c r="BW4"/>
      <c r="BX4" s="93"/>
      <c r="BY4" s="93"/>
      <c r="BZ4" s="93"/>
      <c r="CA4" s="93"/>
      <c r="CB4" s="93"/>
      <c r="CC4" s="93"/>
      <c r="CD4" s="93"/>
      <c r="CE4" s="93"/>
    </row>
    <row r="5" spans="1:86" s="10" customFormat="1">
      <c r="B5" s="411" t="s">
        <v>120</v>
      </c>
      <c r="C5" s="409">
        <f>MIN(C10:C33)</f>
        <v>0</v>
      </c>
      <c r="D5" s="409">
        <f>MIN(D10:D33)</f>
        <v>0</v>
      </c>
      <c r="E5" s="409">
        <f t="shared" ref="E5:AS5" si="6">MIN(E10:E33)</f>
        <v>0</v>
      </c>
      <c r="F5" s="409">
        <f>MIN(F10:F33)</f>
        <v>0</v>
      </c>
      <c r="G5" s="409">
        <f t="shared" si="6"/>
        <v>0</v>
      </c>
      <c r="H5" s="409">
        <f t="shared" si="6"/>
        <v>0</v>
      </c>
      <c r="I5" s="409">
        <f t="shared" si="6"/>
        <v>0</v>
      </c>
      <c r="J5" s="409">
        <f t="shared" si="6"/>
        <v>0</v>
      </c>
      <c r="K5" s="409">
        <f t="shared" si="6"/>
        <v>0</v>
      </c>
      <c r="L5" s="409">
        <f t="shared" si="6"/>
        <v>0</v>
      </c>
      <c r="M5" s="409">
        <f t="shared" si="6"/>
        <v>0</v>
      </c>
      <c r="N5" s="409">
        <f t="shared" si="6"/>
        <v>0</v>
      </c>
      <c r="O5" s="409">
        <f t="shared" si="6"/>
        <v>0</v>
      </c>
      <c r="P5" s="409">
        <f t="shared" si="6"/>
        <v>0</v>
      </c>
      <c r="Q5" s="409">
        <f t="shared" si="6"/>
        <v>0</v>
      </c>
      <c r="R5" s="409">
        <f t="shared" si="6"/>
        <v>0</v>
      </c>
      <c r="S5" s="409">
        <f t="shared" si="6"/>
        <v>0</v>
      </c>
      <c r="T5" s="409">
        <f t="shared" si="6"/>
        <v>0</v>
      </c>
      <c r="U5" s="409">
        <f t="shared" si="6"/>
        <v>0</v>
      </c>
      <c r="V5" s="409">
        <f t="shared" si="6"/>
        <v>0</v>
      </c>
      <c r="W5" s="409">
        <f t="shared" si="6"/>
        <v>0</v>
      </c>
      <c r="X5" s="409">
        <f t="shared" si="6"/>
        <v>0</v>
      </c>
      <c r="Y5" s="409">
        <f t="shared" si="6"/>
        <v>0</v>
      </c>
      <c r="Z5" s="409">
        <f t="shared" si="6"/>
        <v>0</v>
      </c>
      <c r="AA5" s="409">
        <f t="shared" si="6"/>
        <v>0</v>
      </c>
      <c r="AB5" s="409">
        <f t="shared" si="6"/>
        <v>0</v>
      </c>
      <c r="AC5" s="409">
        <f t="shared" si="6"/>
        <v>0</v>
      </c>
      <c r="AD5" s="409">
        <f t="shared" si="6"/>
        <v>0</v>
      </c>
      <c r="AE5" s="409">
        <f t="shared" si="6"/>
        <v>0</v>
      </c>
      <c r="AF5" s="409">
        <f t="shared" si="6"/>
        <v>0</v>
      </c>
      <c r="AG5" s="409">
        <f t="shared" si="6"/>
        <v>0</v>
      </c>
      <c r="AH5" s="409">
        <f t="shared" si="6"/>
        <v>0</v>
      </c>
      <c r="AI5" s="409">
        <f t="shared" si="6"/>
        <v>59</v>
      </c>
      <c r="AJ5" s="409">
        <f t="shared" si="6"/>
        <v>0</v>
      </c>
      <c r="AK5" s="409">
        <f t="shared" si="6"/>
        <v>0</v>
      </c>
      <c r="AL5" s="410"/>
      <c r="AM5" s="409">
        <f t="shared" si="6"/>
        <v>0</v>
      </c>
      <c r="AN5" s="409">
        <f t="shared" si="6"/>
        <v>0</v>
      </c>
      <c r="AO5" s="409">
        <f t="shared" si="6"/>
        <v>0</v>
      </c>
      <c r="AP5" s="409">
        <f t="shared" si="6"/>
        <v>0</v>
      </c>
      <c r="AQ5" s="409">
        <f t="shared" si="6"/>
        <v>0</v>
      </c>
      <c r="AR5" s="409">
        <f t="shared" si="6"/>
        <v>0</v>
      </c>
      <c r="AS5" s="409">
        <f t="shared" si="6"/>
        <v>0</v>
      </c>
      <c r="AW5" s="94"/>
      <c r="AX5" s="94"/>
      <c r="AY5" s="94"/>
      <c r="AZ5" s="94"/>
      <c r="BA5" s="94"/>
      <c r="BB5" s="94"/>
      <c r="BC5" s="409">
        <f t="shared" ref="BC5:BR5" si="7">MIN(BC10:BC33)</f>
        <v>0</v>
      </c>
      <c r="BD5" s="409">
        <f t="shared" si="7"/>
        <v>0</v>
      </c>
      <c r="BE5" s="409">
        <f t="shared" si="7"/>
        <v>0</v>
      </c>
      <c r="BF5" s="409">
        <f t="shared" si="7"/>
        <v>0</v>
      </c>
      <c r="BG5" s="409">
        <f t="shared" si="7"/>
        <v>0</v>
      </c>
      <c r="BH5" s="409">
        <f t="shared" si="7"/>
        <v>0</v>
      </c>
      <c r="BI5" s="409">
        <f t="shared" si="7"/>
        <v>0</v>
      </c>
      <c r="BJ5" s="409">
        <f t="shared" si="7"/>
        <v>0</v>
      </c>
      <c r="BK5" s="409">
        <f t="shared" si="7"/>
        <v>0</v>
      </c>
      <c r="BL5" s="409">
        <f t="shared" si="7"/>
        <v>0</v>
      </c>
      <c r="BM5" s="409">
        <f t="shared" si="7"/>
        <v>0</v>
      </c>
      <c r="BN5" s="409">
        <f t="shared" si="7"/>
        <v>0</v>
      </c>
      <c r="BO5" s="409">
        <f t="shared" si="7"/>
        <v>0</v>
      </c>
      <c r="BP5" s="409">
        <f t="shared" si="7"/>
        <v>0</v>
      </c>
      <c r="BQ5" s="409">
        <f t="shared" si="7"/>
        <v>0</v>
      </c>
      <c r="BR5" s="409">
        <f t="shared" si="7"/>
        <v>0</v>
      </c>
      <c r="BS5" s="409"/>
      <c r="BT5" s="93"/>
      <c r="BU5" s="93"/>
      <c r="BV5" s="93"/>
      <c r="BW5" s="93"/>
      <c r="BX5" s="93"/>
      <c r="BY5" s="93"/>
      <c r="BZ5" s="93"/>
      <c r="CA5" s="93"/>
      <c r="CB5" s="93"/>
      <c r="CC5" s="93"/>
      <c r="CD5" s="93"/>
      <c r="CE5" s="93"/>
    </row>
    <row r="6" spans="1:86" s="10" customFormat="1">
      <c r="B6" s="411" t="s">
        <v>121</v>
      </c>
      <c r="C6" s="409">
        <f>MAX(C10:C33)</f>
        <v>0</v>
      </c>
      <c r="D6" s="409">
        <f>MAX(D10:D33)</f>
        <v>0</v>
      </c>
      <c r="E6" s="409">
        <f t="shared" ref="E6:AS6" si="8">MAX(E10:E33)</f>
        <v>0</v>
      </c>
      <c r="F6" s="409">
        <f>MAX(F10:F33)</f>
        <v>0</v>
      </c>
      <c r="G6" s="409">
        <f t="shared" si="8"/>
        <v>0</v>
      </c>
      <c r="H6" s="409">
        <f t="shared" si="8"/>
        <v>0</v>
      </c>
      <c r="I6" s="409">
        <f t="shared" si="8"/>
        <v>0</v>
      </c>
      <c r="J6" s="409">
        <f t="shared" si="8"/>
        <v>0</v>
      </c>
      <c r="K6" s="409">
        <f t="shared" si="8"/>
        <v>0</v>
      </c>
      <c r="L6" s="409">
        <f t="shared" si="8"/>
        <v>0</v>
      </c>
      <c r="M6" s="409">
        <f t="shared" si="8"/>
        <v>0</v>
      </c>
      <c r="N6" s="409">
        <f t="shared" si="8"/>
        <v>0</v>
      </c>
      <c r="O6" s="409">
        <f t="shared" si="8"/>
        <v>0</v>
      </c>
      <c r="P6" s="409">
        <f t="shared" si="8"/>
        <v>0</v>
      </c>
      <c r="Q6" s="409">
        <f t="shared" si="8"/>
        <v>0</v>
      </c>
      <c r="R6" s="409">
        <f t="shared" si="8"/>
        <v>0</v>
      </c>
      <c r="S6" s="409">
        <f t="shared" si="8"/>
        <v>0</v>
      </c>
      <c r="T6" s="409">
        <f t="shared" si="8"/>
        <v>0</v>
      </c>
      <c r="U6" s="409">
        <f t="shared" si="8"/>
        <v>0</v>
      </c>
      <c r="V6" s="409">
        <f t="shared" si="8"/>
        <v>0</v>
      </c>
      <c r="W6" s="409">
        <f t="shared" si="8"/>
        <v>0</v>
      </c>
      <c r="X6" s="409">
        <f t="shared" si="8"/>
        <v>0</v>
      </c>
      <c r="Y6" s="409">
        <f t="shared" si="8"/>
        <v>0</v>
      </c>
      <c r="Z6" s="409">
        <f t="shared" si="8"/>
        <v>0</v>
      </c>
      <c r="AA6" s="409">
        <f t="shared" si="8"/>
        <v>0</v>
      </c>
      <c r="AB6" s="409">
        <f t="shared" si="8"/>
        <v>0</v>
      </c>
      <c r="AC6" s="409">
        <f t="shared" si="8"/>
        <v>0</v>
      </c>
      <c r="AD6" s="409">
        <f t="shared" si="8"/>
        <v>0</v>
      </c>
      <c r="AE6" s="409">
        <f t="shared" si="8"/>
        <v>0</v>
      </c>
      <c r="AF6" s="409">
        <f t="shared" si="8"/>
        <v>0</v>
      </c>
      <c r="AG6" s="409">
        <f t="shared" si="8"/>
        <v>0</v>
      </c>
      <c r="AH6" s="409">
        <f t="shared" si="8"/>
        <v>0</v>
      </c>
      <c r="AI6" s="409">
        <f t="shared" si="8"/>
        <v>59</v>
      </c>
      <c r="AJ6" s="409">
        <f t="shared" si="8"/>
        <v>0</v>
      </c>
      <c r="AK6" s="409">
        <f t="shared" si="8"/>
        <v>0</v>
      </c>
      <c r="AL6" s="410"/>
      <c r="AM6" s="409">
        <f t="shared" si="8"/>
        <v>0</v>
      </c>
      <c r="AN6" s="409">
        <f t="shared" si="8"/>
        <v>0</v>
      </c>
      <c r="AO6" s="409">
        <f t="shared" si="8"/>
        <v>0</v>
      </c>
      <c r="AP6" s="409">
        <f t="shared" si="8"/>
        <v>0</v>
      </c>
      <c r="AQ6" s="409">
        <f t="shared" si="8"/>
        <v>0</v>
      </c>
      <c r="AR6" s="409">
        <f t="shared" si="8"/>
        <v>0</v>
      </c>
      <c r="AS6" s="409">
        <f t="shared" si="8"/>
        <v>0</v>
      </c>
      <c r="AW6" s="94"/>
      <c r="AX6" s="94"/>
      <c r="AY6" s="94"/>
      <c r="AZ6" s="94"/>
      <c r="BA6" s="94"/>
      <c r="BB6" s="94"/>
      <c r="BC6" s="409">
        <f t="shared" ref="BC6:BR6" si="9">MAX(BC10:BC33)</f>
        <v>0</v>
      </c>
      <c r="BD6" s="409">
        <f t="shared" si="9"/>
        <v>0</v>
      </c>
      <c r="BE6" s="409">
        <f t="shared" si="9"/>
        <v>0</v>
      </c>
      <c r="BF6" s="409">
        <f t="shared" si="9"/>
        <v>0</v>
      </c>
      <c r="BG6" s="409">
        <f t="shared" si="9"/>
        <v>0</v>
      </c>
      <c r="BH6" s="409">
        <f t="shared" si="9"/>
        <v>0</v>
      </c>
      <c r="BI6" s="409">
        <f t="shared" si="9"/>
        <v>0</v>
      </c>
      <c r="BJ6" s="409">
        <f t="shared" si="9"/>
        <v>0</v>
      </c>
      <c r="BK6" s="409">
        <f t="shared" si="9"/>
        <v>0</v>
      </c>
      <c r="BL6" s="409">
        <f t="shared" si="9"/>
        <v>0</v>
      </c>
      <c r="BM6" s="409">
        <f t="shared" si="9"/>
        <v>0</v>
      </c>
      <c r="BN6" s="409">
        <f t="shared" si="9"/>
        <v>0</v>
      </c>
      <c r="BO6" s="409">
        <f t="shared" si="9"/>
        <v>0</v>
      </c>
      <c r="BP6" s="409">
        <f t="shared" si="9"/>
        <v>0</v>
      </c>
      <c r="BQ6" s="409">
        <f t="shared" si="9"/>
        <v>0</v>
      </c>
      <c r="BR6" s="409">
        <f t="shared" si="9"/>
        <v>0</v>
      </c>
      <c r="BS6" s="409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</row>
    <row r="7" spans="1:86" s="10" customFormat="1" ht="12.75" customHeight="1" thickBot="1">
      <c r="B7" s="1"/>
      <c r="C7" s="10" t="s">
        <v>36</v>
      </c>
      <c r="D7" s="94"/>
      <c r="F7" s="234"/>
      <c r="G7" s="23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AI7" s="29"/>
      <c r="AJ7" s="29"/>
      <c r="AL7" s="9"/>
      <c r="AQ7" s="202"/>
      <c r="AU7" s="10" t="s">
        <v>78</v>
      </c>
      <c r="AW7" s="94"/>
      <c r="AX7" s="94"/>
      <c r="AY7" s="94"/>
      <c r="AZ7" s="94"/>
      <c r="BA7" s="94"/>
      <c r="BB7" s="94"/>
      <c r="BC7" s="89"/>
      <c r="BD7" s="89"/>
      <c r="BE7" s="89"/>
      <c r="BF7" s="89"/>
      <c r="BG7" s="89"/>
      <c r="BH7" s="89"/>
      <c r="BI7" s="89"/>
      <c r="BJ7" s="89"/>
      <c r="BK7" s="89"/>
      <c r="BL7" s="90"/>
      <c r="BM7" s="89"/>
      <c r="BN7" s="90"/>
      <c r="BO7" s="91"/>
      <c r="BP7" s="92"/>
      <c r="BQ7" s="92"/>
      <c r="BR7" s="91"/>
      <c r="BS7" s="91"/>
      <c r="BT7" s="93"/>
    </row>
    <row r="8" spans="1:86" s="10" customFormat="1" ht="26.25" customHeight="1" thickTop="1" thickBot="1">
      <c r="B8" s="1"/>
      <c r="D8" s="94"/>
      <c r="E8" s="230"/>
      <c r="F8" s="232"/>
      <c r="G8" s="231" t="s">
        <v>29</v>
      </c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3"/>
      <c r="AI8" s="29"/>
      <c r="AJ8" s="29"/>
      <c r="AK8" s="29"/>
      <c r="AL8" s="43"/>
      <c r="AM8" s="259" t="s">
        <v>25</v>
      </c>
      <c r="AN8" s="260" t="s">
        <v>24</v>
      </c>
      <c r="AO8" s="204"/>
      <c r="AP8" s="440" t="s">
        <v>82</v>
      </c>
      <c r="AQ8" s="441"/>
      <c r="AR8" s="441"/>
      <c r="AS8" s="442"/>
      <c r="AW8" s="100" t="s">
        <v>45</v>
      </c>
      <c r="AX8" s="95" t="s">
        <v>46</v>
      </c>
      <c r="AY8" s="146" t="s">
        <v>47</v>
      </c>
      <c r="AZ8" s="96" t="s">
        <v>48</v>
      </c>
      <c r="BA8" s="97" t="s">
        <v>135</v>
      </c>
      <c r="BB8" s="405" t="s">
        <v>134</v>
      </c>
      <c r="BC8" s="97" t="s">
        <v>136</v>
      </c>
      <c r="BD8" s="97" t="s">
        <v>137</v>
      </c>
      <c r="BE8" s="97" t="s">
        <v>138</v>
      </c>
      <c r="BF8" s="97" t="s">
        <v>139</v>
      </c>
      <c r="BG8" s="95" t="s">
        <v>140</v>
      </c>
      <c r="BH8" s="95" t="s">
        <v>49</v>
      </c>
      <c r="BI8" s="95" t="s">
        <v>50</v>
      </c>
      <c r="BJ8" s="95" t="s">
        <v>141</v>
      </c>
      <c r="BK8" s="95" t="s">
        <v>51</v>
      </c>
      <c r="BL8" s="95" t="s">
        <v>52</v>
      </c>
      <c r="BM8" s="95" t="s">
        <v>53</v>
      </c>
      <c r="BN8" s="407" t="s">
        <v>54</v>
      </c>
      <c r="BO8" s="95" t="s">
        <v>55</v>
      </c>
      <c r="BP8" s="95" t="s">
        <v>56</v>
      </c>
      <c r="BQ8" s="95" t="s">
        <v>57</v>
      </c>
      <c r="BR8" s="95" t="s">
        <v>58</v>
      </c>
      <c r="BS8" s="95" t="s">
        <v>142</v>
      </c>
      <c r="BT8" s="93"/>
    </row>
    <row r="9" spans="1:86" s="29" customFormat="1" ht="39" thickBot="1">
      <c r="B9" s="26" t="s">
        <v>0</v>
      </c>
      <c r="C9" s="154" t="s">
        <v>32</v>
      </c>
      <c r="D9" s="112" t="s">
        <v>28</v>
      </c>
      <c r="E9" s="113" t="s">
        <v>80</v>
      </c>
      <c r="F9" s="39" t="s">
        <v>132</v>
      </c>
      <c r="G9" s="236" t="s">
        <v>12</v>
      </c>
      <c r="H9" s="39" t="s">
        <v>13</v>
      </c>
      <c r="I9" s="39" t="s">
        <v>14</v>
      </c>
      <c r="J9" s="112" t="s">
        <v>8</v>
      </c>
      <c r="K9" s="112" t="s">
        <v>9</v>
      </c>
      <c r="L9" s="112" t="s">
        <v>15</v>
      </c>
      <c r="M9" s="39" t="s">
        <v>16</v>
      </c>
      <c r="N9" s="39" t="s">
        <v>27</v>
      </c>
      <c r="O9" s="39" t="s">
        <v>72</v>
      </c>
      <c r="P9" s="39" t="s">
        <v>73</v>
      </c>
      <c r="Q9" s="39" t="s">
        <v>74</v>
      </c>
      <c r="R9" s="39" t="s">
        <v>75</v>
      </c>
      <c r="S9" s="39" t="s">
        <v>76</v>
      </c>
      <c r="T9" s="39" t="s">
        <v>77</v>
      </c>
      <c r="U9" s="39" t="s">
        <v>79</v>
      </c>
      <c r="V9" s="53" t="s">
        <v>112</v>
      </c>
      <c r="W9" s="50" t="s">
        <v>39</v>
      </c>
      <c r="X9" s="51" t="s">
        <v>40</v>
      </c>
      <c r="Y9" s="51" t="s">
        <v>41</v>
      </c>
      <c r="Z9" s="54" t="s">
        <v>42</v>
      </c>
      <c r="AA9" s="51" t="s">
        <v>2</v>
      </c>
      <c r="AB9" s="51" t="s">
        <v>3</v>
      </c>
      <c r="AC9" s="323" t="s">
        <v>4</v>
      </c>
      <c r="AD9" s="51" t="s">
        <v>5</v>
      </c>
      <c r="AE9" s="51" t="s">
        <v>91</v>
      </c>
      <c r="AF9" s="51" t="s">
        <v>22</v>
      </c>
      <c r="AG9" s="51" t="s">
        <v>23</v>
      </c>
      <c r="AH9" s="51" t="s">
        <v>30</v>
      </c>
      <c r="AI9" s="303" t="s">
        <v>43</v>
      </c>
      <c r="AJ9" s="53" t="s">
        <v>125</v>
      </c>
      <c r="AK9" s="108" t="s">
        <v>85</v>
      </c>
      <c r="AL9" s="33"/>
      <c r="AM9" s="38" t="s">
        <v>26</v>
      </c>
      <c r="AN9" s="39" t="s">
        <v>102</v>
      </c>
      <c r="AO9" s="40" t="s">
        <v>103</v>
      </c>
      <c r="AP9" s="42" t="s">
        <v>60</v>
      </c>
      <c r="AQ9" s="279" t="s">
        <v>83</v>
      </c>
      <c r="AR9" s="39" t="s">
        <v>89</v>
      </c>
      <c r="AS9" s="40" t="s">
        <v>90</v>
      </c>
      <c r="AU9" s="85" t="s">
        <v>113</v>
      </c>
      <c r="AW9" s="272"/>
      <c r="AX9" s="114"/>
      <c r="AY9" s="147"/>
      <c r="AZ9" s="406" t="s">
        <v>129</v>
      </c>
      <c r="BA9" s="148" t="s">
        <v>129</v>
      </c>
      <c r="BB9" s="148" t="s">
        <v>129</v>
      </c>
      <c r="BC9" s="148" t="s">
        <v>129</v>
      </c>
      <c r="BD9" s="114" t="s">
        <v>129</v>
      </c>
      <c r="BE9" s="114" t="s">
        <v>129</v>
      </c>
      <c r="BF9" s="114" t="s">
        <v>129</v>
      </c>
      <c r="BG9" s="114" t="s">
        <v>129</v>
      </c>
      <c r="BH9" s="114" t="s">
        <v>129</v>
      </c>
      <c r="BI9" s="114" t="s">
        <v>129</v>
      </c>
      <c r="BJ9" s="114" t="s">
        <v>129</v>
      </c>
      <c r="BK9" s="114" t="s">
        <v>129</v>
      </c>
      <c r="BL9" s="114" t="s">
        <v>129</v>
      </c>
      <c r="BM9" s="114" t="s">
        <v>129</v>
      </c>
      <c r="BN9" s="114" t="s">
        <v>129</v>
      </c>
      <c r="BO9" s="114" t="s">
        <v>129</v>
      </c>
      <c r="BP9" s="114" t="s">
        <v>129</v>
      </c>
      <c r="BQ9" s="114" t="s">
        <v>129</v>
      </c>
      <c r="BR9" s="114" t="s">
        <v>129</v>
      </c>
      <c r="BS9" s="114" t="s">
        <v>129</v>
      </c>
    </row>
    <row r="10" spans="1:86" s="10" customFormat="1">
      <c r="B10" s="3"/>
      <c r="C10" s="254"/>
      <c r="D10" s="18"/>
      <c r="E10" s="398"/>
      <c r="F10" s="415"/>
      <c r="G10" s="17"/>
      <c r="H10" s="19"/>
      <c r="I10" s="19"/>
      <c r="J10" s="19"/>
      <c r="K10" s="19"/>
      <c r="L10" s="153"/>
      <c r="M10" s="19"/>
      <c r="N10" s="19"/>
      <c r="O10" s="19"/>
      <c r="P10" s="19"/>
      <c r="Q10" s="19"/>
      <c r="R10" s="19"/>
      <c r="S10" s="19"/>
      <c r="T10" s="19"/>
      <c r="U10" s="13"/>
      <c r="V10" s="134" t="str">
        <f t="shared" ref="V10:V20" si="10">IF((G10+H10+I10+J10+K10+L10+M10+N10+O10+P10+Q10+R10+S10+T10+U10+F10)&lt;&gt;0,(F10+G10+H10+I10+J10+K10+L10+M10+N10+O10+P10+Q10+R10+S10+T10+U10),"")</f>
        <v/>
      </c>
      <c r="W10" s="326" t="str">
        <f t="shared" ref="W10:W20" si="11">IF((G10+H10+I10+J10)&lt;&gt;0,4.07*(J10-C10-0.7*L10)-(7.6*(G10-0.06)+6.72*H10+1.43*I10),"")</f>
        <v/>
      </c>
      <c r="X10" s="83" t="str">
        <f t="shared" ref="X10:X20" si="12">IF((G10+H10+I10+J10)&lt;&gt;0,8.6*G10+5.07*H10+1.08*I10-3.07*(J10-C10-0.7*L10),"")</f>
        <v/>
      </c>
      <c r="Y10" s="83" t="str">
        <f t="shared" ref="Y10:Y20" si="13">IF((G10+H10+I10+J10)&lt;&gt;0,2.65*H10-1.69*I10,"")</f>
        <v/>
      </c>
      <c r="Z10" s="83" t="str">
        <f t="shared" ref="Z10:Z20" si="14">IF((G10+H10+I10+J10)&lt;&gt;0,3.04*I10,"")</f>
        <v/>
      </c>
      <c r="AA10" s="195" t="str">
        <f t="shared" ref="AA10:AA20" si="15">IF((H10+I10)&lt;&gt;0,G10/(H10+I10),"")</f>
        <v/>
      </c>
      <c r="AB10" s="195" t="str">
        <f t="shared" ref="AB10:AB20" si="16">IF(I10&lt;&gt;0,H10/I10,"")</f>
        <v/>
      </c>
      <c r="AC10" s="83" t="str">
        <f t="shared" ref="AC10:AC20" si="17">IF((G10+H10+I10)&lt;&gt;0,J10/(G10+H10+I10),"")</f>
        <v/>
      </c>
      <c r="AD10" s="83" t="str">
        <f t="shared" ref="AD10:AD20" si="18">IF((2.8*G10+1.18*H10+0.65*I10)&lt;&gt;0,100*(J10)/(2.8*G10+1.18*H10+0.65*I10),"")</f>
        <v/>
      </c>
      <c r="AE10" s="83"/>
      <c r="AF10" s="83" t="str">
        <f t="shared" ref="AF10:AF20" si="19">IF((G10+H10+I10+J10-(0.7*L10+(2/3)*F10+C10))&lt;&gt;0,IF((2.8*G10+1.65*H10+0.35*I10)&lt;&gt;0,100*(2.8*G10+1.65*H10+0.35*I10-(J10-0.7*L10-(2/3)*F10-C10))/(G10+H10+I10+J10-(0.7*L10+(2/3)*F10+C10)),""),"")</f>
        <v/>
      </c>
      <c r="AG10" s="83" t="str">
        <f t="shared" ref="AG10:AG24" si="20">IF((3*H10+2.25*I10+K10+N10+M10)&lt;&gt;0,3*H10+2.25*I10+K10+N10+M10,"")</f>
        <v/>
      </c>
      <c r="AH10" s="325" t="str">
        <f t="shared" ref="AH10:AH33" si="21">IF(((M10*0.85)+(N10*1.29))&lt;&gt;0,(L10)/((M10*0.85)+(N10*1.29)),"")</f>
        <v/>
      </c>
      <c r="AI10" s="306">
        <v>59</v>
      </c>
      <c r="AJ10" s="324" t="str">
        <f t="shared" ref="AJ10:AJ20" si="22">IF(G10="","",(W10-AI10)^2)</f>
        <v/>
      </c>
      <c r="AK10" s="164"/>
      <c r="AL10" s="33"/>
      <c r="AM10" s="284"/>
      <c r="AN10" s="284"/>
      <c r="AO10" s="284"/>
      <c r="AP10" s="293"/>
      <c r="AQ10" s="284"/>
      <c r="AR10" s="296"/>
      <c r="AS10" s="296"/>
      <c r="AT10" s="29"/>
      <c r="AU10" s="86"/>
      <c r="AV10" s="94"/>
      <c r="AW10" s="155"/>
      <c r="AX10" s="158"/>
      <c r="AY10" s="276"/>
      <c r="AZ10" s="199"/>
      <c r="BA10" s="401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93"/>
      <c r="CB10" s="10" t="s">
        <v>152</v>
      </c>
      <c r="CE10" s="10" t="s">
        <v>152</v>
      </c>
      <c r="CG10" s="10" t="s">
        <v>152</v>
      </c>
      <c r="CH10" s="10" t="s">
        <v>152</v>
      </c>
    </row>
    <row r="11" spans="1:86" s="10" customFormat="1">
      <c r="B11" s="3"/>
      <c r="C11" s="254"/>
      <c r="D11" s="18"/>
      <c r="E11" s="398"/>
      <c r="F11" s="385"/>
      <c r="G11" s="17"/>
      <c r="H11" s="19"/>
      <c r="I11" s="19"/>
      <c r="J11" s="19"/>
      <c r="K11" s="19"/>
      <c r="L11" s="235"/>
      <c r="M11" s="19"/>
      <c r="N11" s="19"/>
      <c r="O11" s="19"/>
      <c r="P11" s="19"/>
      <c r="Q11" s="19"/>
      <c r="R11" s="19"/>
      <c r="S11" s="19"/>
      <c r="T11" s="19"/>
      <c r="U11" s="19"/>
      <c r="V11" s="135" t="str">
        <f t="shared" si="10"/>
        <v/>
      </c>
      <c r="W11" s="246" t="str">
        <f t="shared" si="11"/>
        <v/>
      </c>
      <c r="X11" s="60" t="str">
        <f t="shared" si="12"/>
        <v/>
      </c>
      <c r="Y11" s="60" t="str">
        <f t="shared" si="13"/>
        <v/>
      </c>
      <c r="Z11" s="60" t="str">
        <f t="shared" si="14"/>
        <v/>
      </c>
      <c r="AA11" s="136" t="str">
        <f t="shared" si="15"/>
        <v/>
      </c>
      <c r="AB11" s="136" t="str">
        <f t="shared" si="16"/>
        <v/>
      </c>
      <c r="AC11" s="60" t="str">
        <f t="shared" si="17"/>
        <v/>
      </c>
      <c r="AD11" s="60" t="str">
        <f t="shared" si="18"/>
        <v/>
      </c>
      <c r="AE11" s="60"/>
      <c r="AF11" s="60" t="str">
        <f t="shared" si="19"/>
        <v/>
      </c>
      <c r="AG11" s="60" t="str">
        <f t="shared" si="20"/>
        <v/>
      </c>
      <c r="AH11" s="190" t="str">
        <f t="shared" si="21"/>
        <v/>
      </c>
      <c r="AI11" s="304">
        <v>59</v>
      </c>
      <c r="AJ11" s="192" t="str">
        <f t="shared" si="22"/>
        <v/>
      </c>
      <c r="AK11" s="164"/>
      <c r="AL11" s="33"/>
      <c r="AM11" s="284"/>
      <c r="AN11" s="284"/>
      <c r="AO11" s="361"/>
      <c r="AP11" s="293"/>
      <c r="AQ11" s="293"/>
      <c r="AR11" s="296"/>
      <c r="AS11" s="296"/>
      <c r="AT11" s="29"/>
      <c r="AU11" s="87"/>
      <c r="AV11" s="94"/>
      <c r="AW11" s="141"/>
      <c r="AX11" s="142"/>
      <c r="AY11" s="205"/>
      <c r="AZ11" s="48"/>
      <c r="BA11" s="402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93"/>
      <c r="CB11" s="10" t="s">
        <v>152</v>
      </c>
      <c r="CE11" s="10" t="s">
        <v>152</v>
      </c>
      <c r="CG11" s="10" t="s">
        <v>152</v>
      </c>
      <c r="CH11" s="10" t="s">
        <v>152</v>
      </c>
    </row>
    <row r="12" spans="1:86" s="10" customFormat="1">
      <c r="B12" s="3"/>
      <c r="C12" s="254"/>
      <c r="D12" s="18"/>
      <c r="E12" s="398"/>
      <c r="F12" s="416"/>
      <c r="G12" s="17"/>
      <c r="H12" s="19"/>
      <c r="I12" s="70"/>
      <c r="J12" s="19"/>
      <c r="K12" s="19"/>
      <c r="L12" s="235"/>
      <c r="M12" s="19"/>
      <c r="N12" s="19"/>
      <c r="O12" s="19"/>
      <c r="P12" s="19"/>
      <c r="Q12" s="19"/>
      <c r="R12" s="19"/>
      <c r="S12" s="19"/>
      <c r="T12" s="19"/>
      <c r="U12" s="19"/>
      <c r="V12" s="135" t="str">
        <f t="shared" si="10"/>
        <v/>
      </c>
      <c r="W12" s="246" t="str">
        <f t="shared" si="11"/>
        <v/>
      </c>
      <c r="X12" s="60" t="str">
        <f t="shared" si="12"/>
        <v/>
      </c>
      <c r="Y12" s="60" t="str">
        <f t="shared" si="13"/>
        <v/>
      </c>
      <c r="Z12" s="60" t="str">
        <f t="shared" si="14"/>
        <v/>
      </c>
      <c r="AA12" s="136" t="str">
        <f t="shared" si="15"/>
        <v/>
      </c>
      <c r="AB12" s="136" t="str">
        <f t="shared" si="16"/>
        <v/>
      </c>
      <c r="AC12" s="60" t="str">
        <f t="shared" si="17"/>
        <v/>
      </c>
      <c r="AD12" s="60" t="str">
        <f t="shared" si="18"/>
        <v/>
      </c>
      <c r="AE12" s="60"/>
      <c r="AF12" s="60" t="str">
        <f t="shared" si="19"/>
        <v/>
      </c>
      <c r="AG12" s="60" t="str">
        <f t="shared" si="20"/>
        <v/>
      </c>
      <c r="AH12" s="190" t="str">
        <f t="shared" si="21"/>
        <v/>
      </c>
      <c r="AI12" s="306">
        <v>59</v>
      </c>
      <c r="AJ12" s="192" t="str">
        <f t="shared" si="22"/>
        <v/>
      </c>
      <c r="AK12" s="164"/>
      <c r="AL12" s="33"/>
      <c r="AM12" s="284"/>
      <c r="AN12" s="284"/>
      <c r="AO12" s="284"/>
      <c r="AP12" s="293"/>
      <c r="AQ12" s="284"/>
      <c r="AR12" s="296"/>
      <c r="AS12" s="296"/>
      <c r="AT12" s="29"/>
      <c r="AU12" s="87"/>
      <c r="AV12" s="94"/>
      <c r="AW12" s="141"/>
      <c r="AX12" s="142"/>
      <c r="AY12" s="205"/>
      <c r="AZ12" s="48"/>
      <c r="BA12" s="402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93"/>
      <c r="CB12" s="10" t="s">
        <v>152</v>
      </c>
      <c r="CE12" s="10" t="s">
        <v>152</v>
      </c>
      <c r="CG12" s="10" t="s">
        <v>152</v>
      </c>
      <c r="CH12" s="10" t="s">
        <v>152</v>
      </c>
    </row>
    <row r="13" spans="1:86" s="10" customFormat="1">
      <c r="B13" s="3"/>
      <c r="C13" s="182"/>
      <c r="D13" s="18"/>
      <c r="E13" s="398"/>
      <c r="F13" s="385"/>
      <c r="G13" s="17"/>
      <c r="H13" s="19"/>
      <c r="I13" s="19"/>
      <c r="J13" s="19"/>
      <c r="K13" s="19"/>
      <c r="L13" s="153"/>
      <c r="M13" s="19"/>
      <c r="N13" s="19"/>
      <c r="O13" s="19"/>
      <c r="P13" s="19"/>
      <c r="Q13" s="19"/>
      <c r="R13" s="19"/>
      <c r="S13" s="19"/>
      <c r="T13" s="19"/>
      <c r="U13" s="19"/>
      <c r="V13" s="135" t="str">
        <f t="shared" si="10"/>
        <v/>
      </c>
      <c r="W13" s="246" t="str">
        <f t="shared" si="11"/>
        <v/>
      </c>
      <c r="X13" s="60" t="str">
        <f t="shared" si="12"/>
        <v/>
      </c>
      <c r="Y13" s="60" t="str">
        <f t="shared" si="13"/>
        <v/>
      </c>
      <c r="Z13" s="60" t="str">
        <f t="shared" si="14"/>
        <v/>
      </c>
      <c r="AA13" s="136" t="str">
        <f t="shared" si="15"/>
        <v/>
      </c>
      <c r="AB13" s="136" t="str">
        <f t="shared" si="16"/>
        <v/>
      </c>
      <c r="AC13" s="60" t="str">
        <f t="shared" si="17"/>
        <v/>
      </c>
      <c r="AD13" s="60" t="str">
        <f t="shared" si="18"/>
        <v/>
      </c>
      <c r="AE13" s="60"/>
      <c r="AF13" s="60" t="str">
        <f t="shared" si="19"/>
        <v/>
      </c>
      <c r="AG13" s="60" t="str">
        <f t="shared" si="20"/>
        <v/>
      </c>
      <c r="AH13" s="190" t="str">
        <f t="shared" si="21"/>
        <v/>
      </c>
      <c r="AI13" s="304">
        <v>59</v>
      </c>
      <c r="AJ13" s="192" t="str">
        <f t="shared" si="22"/>
        <v/>
      </c>
      <c r="AK13" s="164"/>
      <c r="AL13" s="33"/>
      <c r="AM13" s="284"/>
      <c r="AN13" s="284"/>
      <c r="AO13" s="284"/>
      <c r="AP13" s="293"/>
      <c r="AQ13" s="293"/>
      <c r="AR13" s="296"/>
      <c r="AS13" s="296"/>
      <c r="AT13" s="94"/>
      <c r="AU13" s="87"/>
      <c r="AV13" s="94"/>
      <c r="AW13" s="141"/>
      <c r="AX13" s="142"/>
      <c r="AY13" s="205"/>
      <c r="AZ13" s="48"/>
      <c r="BA13" s="402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93"/>
      <c r="CB13" s="10" t="s">
        <v>152</v>
      </c>
      <c r="CE13" s="10" t="s">
        <v>152</v>
      </c>
      <c r="CG13" s="10" t="s">
        <v>152</v>
      </c>
      <c r="CH13" s="10" t="s">
        <v>152</v>
      </c>
    </row>
    <row r="14" spans="1:86" s="10" customFormat="1">
      <c r="B14" s="3"/>
      <c r="C14" s="309"/>
      <c r="D14" s="307"/>
      <c r="E14" s="399"/>
      <c r="F14" s="385"/>
      <c r="G14" s="17"/>
      <c r="H14" s="19"/>
      <c r="I14" s="19"/>
      <c r="J14" s="19"/>
      <c r="K14" s="19"/>
      <c r="L14" s="153"/>
      <c r="M14" s="19"/>
      <c r="N14" s="19"/>
      <c r="O14" s="19"/>
      <c r="P14" s="19"/>
      <c r="Q14" s="19"/>
      <c r="R14" s="19"/>
      <c r="S14" s="19"/>
      <c r="T14" s="19"/>
      <c r="U14" s="19"/>
      <c r="V14" s="135" t="str">
        <f t="shared" si="10"/>
        <v/>
      </c>
      <c r="W14" s="246" t="str">
        <f t="shared" si="11"/>
        <v/>
      </c>
      <c r="X14" s="60" t="str">
        <f t="shared" si="12"/>
        <v/>
      </c>
      <c r="Y14" s="60" t="str">
        <f t="shared" si="13"/>
        <v/>
      </c>
      <c r="Z14" s="60" t="str">
        <f t="shared" si="14"/>
        <v/>
      </c>
      <c r="AA14" s="136" t="str">
        <f t="shared" si="15"/>
        <v/>
      </c>
      <c r="AB14" s="136" t="str">
        <f t="shared" si="16"/>
        <v/>
      </c>
      <c r="AC14" s="60" t="str">
        <f t="shared" si="17"/>
        <v/>
      </c>
      <c r="AD14" s="60" t="str">
        <f t="shared" si="18"/>
        <v/>
      </c>
      <c r="AE14" s="60"/>
      <c r="AF14" s="60" t="str">
        <f t="shared" si="19"/>
        <v/>
      </c>
      <c r="AG14" s="60" t="str">
        <f t="shared" si="20"/>
        <v/>
      </c>
      <c r="AH14" s="190" t="str">
        <f t="shared" si="21"/>
        <v/>
      </c>
      <c r="AI14" s="306">
        <v>59</v>
      </c>
      <c r="AJ14" s="192" t="str">
        <f t="shared" si="22"/>
        <v/>
      </c>
      <c r="AK14" s="164"/>
      <c r="AL14" s="33"/>
      <c r="AM14" s="284"/>
      <c r="AN14" s="284"/>
      <c r="AO14" s="284"/>
      <c r="AP14" s="293"/>
      <c r="AQ14" s="284"/>
      <c r="AR14" s="296"/>
      <c r="AS14" s="296"/>
      <c r="AT14" s="94"/>
      <c r="AU14" s="87"/>
      <c r="AV14" s="94"/>
      <c r="AW14" s="141"/>
      <c r="AX14" s="142"/>
      <c r="AY14" s="205"/>
      <c r="AZ14" s="82"/>
      <c r="BA14" s="403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93"/>
      <c r="CB14" s="10" t="s">
        <v>152</v>
      </c>
      <c r="CE14" s="10" t="s">
        <v>152</v>
      </c>
      <c r="CG14" s="10" t="s">
        <v>152</v>
      </c>
      <c r="CH14" s="10" t="s">
        <v>152</v>
      </c>
    </row>
    <row r="15" spans="1:86" s="10" customFormat="1">
      <c r="B15" s="3"/>
      <c r="C15" s="254"/>
      <c r="D15" s="18"/>
      <c r="E15" s="398"/>
      <c r="F15" s="385"/>
      <c r="G15" s="17"/>
      <c r="H15" s="19"/>
      <c r="I15" s="19"/>
      <c r="J15" s="19"/>
      <c r="K15" s="19"/>
      <c r="L15" s="235"/>
      <c r="M15" s="19"/>
      <c r="N15" s="19"/>
      <c r="O15" s="19"/>
      <c r="P15" s="19"/>
      <c r="Q15" s="19"/>
      <c r="R15" s="19"/>
      <c r="S15" s="19"/>
      <c r="T15" s="19"/>
      <c r="U15" s="19"/>
      <c r="V15" s="135" t="str">
        <f t="shared" si="10"/>
        <v/>
      </c>
      <c r="W15" s="246" t="str">
        <f t="shared" si="11"/>
        <v/>
      </c>
      <c r="X15" s="60" t="str">
        <f t="shared" si="12"/>
        <v/>
      </c>
      <c r="Y15" s="60" t="str">
        <f t="shared" si="13"/>
        <v/>
      </c>
      <c r="Z15" s="60" t="str">
        <f t="shared" si="14"/>
        <v/>
      </c>
      <c r="AA15" s="136" t="str">
        <f t="shared" si="15"/>
        <v/>
      </c>
      <c r="AB15" s="136" t="str">
        <f t="shared" si="16"/>
        <v/>
      </c>
      <c r="AC15" s="60" t="str">
        <f t="shared" si="17"/>
        <v/>
      </c>
      <c r="AD15" s="60" t="str">
        <f t="shared" si="18"/>
        <v/>
      </c>
      <c r="AE15" s="60"/>
      <c r="AF15" s="60" t="str">
        <f t="shared" si="19"/>
        <v/>
      </c>
      <c r="AG15" s="60" t="str">
        <f t="shared" si="20"/>
        <v/>
      </c>
      <c r="AH15" s="190" t="str">
        <f t="shared" si="21"/>
        <v/>
      </c>
      <c r="AI15" s="304">
        <v>59</v>
      </c>
      <c r="AJ15" s="192" t="str">
        <f t="shared" si="22"/>
        <v/>
      </c>
      <c r="AK15" s="164"/>
      <c r="AL15" s="33"/>
      <c r="AM15" s="284"/>
      <c r="AN15" s="284"/>
      <c r="AO15" s="284"/>
      <c r="AP15" s="293"/>
      <c r="AQ15" s="293"/>
      <c r="AR15" s="296"/>
      <c r="AS15" s="296"/>
      <c r="AT15" s="94"/>
      <c r="AU15" s="87"/>
      <c r="AV15" s="94"/>
      <c r="AW15" s="141"/>
      <c r="AX15" s="142"/>
      <c r="AY15" s="205"/>
      <c r="AZ15" s="48"/>
      <c r="BA15" s="402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93"/>
      <c r="CB15" s="10" t="s">
        <v>152</v>
      </c>
      <c r="CE15" s="10" t="s">
        <v>152</v>
      </c>
      <c r="CG15" s="10" t="s">
        <v>152</v>
      </c>
      <c r="CH15" s="10" t="s">
        <v>152</v>
      </c>
    </row>
    <row r="16" spans="1:86" s="10" customFormat="1">
      <c r="B16" s="3"/>
      <c r="C16" s="255"/>
      <c r="D16" s="257"/>
      <c r="E16" s="412"/>
      <c r="F16" s="385"/>
      <c r="G16" s="150"/>
      <c r="H16" s="70"/>
      <c r="I16" s="70"/>
      <c r="J16" s="372"/>
      <c r="K16" s="372"/>
      <c r="L16" s="369"/>
      <c r="M16" s="372"/>
      <c r="N16" s="372"/>
      <c r="O16" s="372"/>
      <c r="P16" s="372"/>
      <c r="Q16" s="372"/>
      <c r="R16" s="372"/>
      <c r="S16" s="372"/>
      <c r="T16" s="372"/>
      <c r="U16" s="19"/>
      <c r="V16" s="135" t="str">
        <f t="shared" si="10"/>
        <v/>
      </c>
      <c r="W16" s="246" t="str">
        <f t="shared" si="11"/>
        <v/>
      </c>
      <c r="X16" s="60" t="str">
        <f t="shared" si="12"/>
        <v/>
      </c>
      <c r="Y16" s="60" t="str">
        <f t="shared" si="13"/>
        <v/>
      </c>
      <c r="Z16" s="60" t="str">
        <f t="shared" si="14"/>
        <v/>
      </c>
      <c r="AA16" s="136" t="str">
        <f t="shared" si="15"/>
        <v/>
      </c>
      <c r="AB16" s="136" t="str">
        <f t="shared" si="16"/>
        <v/>
      </c>
      <c r="AC16" s="60" t="str">
        <f t="shared" si="17"/>
        <v/>
      </c>
      <c r="AD16" s="60" t="str">
        <f t="shared" si="18"/>
        <v/>
      </c>
      <c r="AE16" s="60"/>
      <c r="AF16" s="60" t="str">
        <f t="shared" si="19"/>
        <v/>
      </c>
      <c r="AG16" s="60" t="str">
        <f t="shared" si="20"/>
        <v/>
      </c>
      <c r="AH16" s="190" t="str">
        <f t="shared" si="21"/>
        <v/>
      </c>
      <c r="AI16" s="306">
        <v>59</v>
      </c>
      <c r="AJ16" s="192" t="str">
        <f t="shared" si="22"/>
        <v/>
      </c>
      <c r="AK16" s="164"/>
      <c r="AL16" s="33"/>
      <c r="AM16" s="284"/>
      <c r="AN16" s="284"/>
      <c r="AO16" s="284"/>
      <c r="AP16" s="293"/>
      <c r="AQ16" s="284"/>
      <c r="AR16" s="383"/>
      <c r="AS16" s="383"/>
      <c r="AT16" s="94"/>
      <c r="AU16" s="87"/>
      <c r="AV16" s="94"/>
      <c r="AW16" s="141"/>
      <c r="AX16" s="142"/>
      <c r="AY16" s="205"/>
      <c r="AZ16" s="199"/>
      <c r="BA16" s="401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93"/>
      <c r="CB16" s="10" t="s">
        <v>152</v>
      </c>
      <c r="CE16" s="10" t="s">
        <v>152</v>
      </c>
      <c r="CG16" s="10" t="s">
        <v>152</v>
      </c>
      <c r="CH16" s="10" t="s">
        <v>152</v>
      </c>
    </row>
    <row r="17" spans="2:86" s="10" customFormat="1" ht="14.25" customHeight="1" thickBot="1">
      <c r="B17" s="78"/>
      <c r="C17" s="371"/>
      <c r="D17" s="258"/>
      <c r="E17" s="363"/>
      <c r="F17" s="417"/>
      <c r="G17" s="166"/>
      <c r="H17" s="24"/>
      <c r="I17" s="24"/>
      <c r="J17" s="24"/>
      <c r="K17" s="24"/>
      <c r="L17" s="364"/>
      <c r="M17" s="24"/>
      <c r="N17" s="24"/>
      <c r="O17" s="24"/>
      <c r="P17" s="24"/>
      <c r="Q17" s="24"/>
      <c r="R17" s="24"/>
      <c r="S17" s="24"/>
      <c r="T17" s="24"/>
      <c r="U17" s="24"/>
      <c r="V17" s="171" t="str">
        <f t="shared" si="10"/>
        <v/>
      </c>
      <c r="W17" s="281" t="str">
        <f t="shared" si="11"/>
        <v/>
      </c>
      <c r="X17" s="55" t="str">
        <f t="shared" si="12"/>
        <v/>
      </c>
      <c r="Y17" s="55" t="str">
        <f t="shared" si="13"/>
        <v/>
      </c>
      <c r="Z17" s="55" t="str">
        <f t="shared" si="14"/>
        <v/>
      </c>
      <c r="AA17" s="168" t="str">
        <f t="shared" si="15"/>
        <v/>
      </c>
      <c r="AB17" s="168" t="str">
        <f t="shared" si="16"/>
        <v/>
      </c>
      <c r="AC17" s="55" t="str">
        <f t="shared" si="17"/>
        <v/>
      </c>
      <c r="AD17" s="55" t="str">
        <f t="shared" si="18"/>
        <v/>
      </c>
      <c r="AE17" s="55"/>
      <c r="AF17" s="55" t="str">
        <f t="shared" si="19"/>
        <v/>
      </c>
      <c r="AG17" s="55" t="str">
        <f t="shared" si="20"/>
        <v/>
      </c>
      <c r="AH17" s="282" t="str">
        <f t="shared" si="21"/>
        <v/>
      </c>
      <c r="AI17" s="360">
        <v>59</v>
      </c>
      <c r="AJ17" s="214" t="str">
        <f t="shared" si="22"/>
        <v/>
      </c>
      <c r="AK17" s="249"/>
      <c r="AL17" s="33"/>
      <c r="AM17" s="247"/>
      <c r="AN17" s="88"/>
      <c r="AO17" s="247"/>
      <c r="AP17" s="88"/>
      <c r="AQ17" s="294"/>
      <c r="AR17" s="88"/>
      <c r="AS17" s="298"/>
      <c r="AT17" s="74"/>
      <c r="AU17" s="111"/>
      <c r="AV17" s="94"/>
      <c r="AW17" s="143"/>
      <c r="AX17" s="144"/>
      <c r="AY17" s="277"/>
      <c r="AZ17" s="49"/>
      <c r="BA17" s="40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CB17" s="10" t="s">
        <v>152</v>
      </c>
      <c r="CE17" s="10" t="s">
        <v>152</v>
      </c>
      <c r="CG17" s="10" t="s">
        <v>152</v>
      </c>
      <c r="CH17" s="10" t="s">
        <v>152</v>
      </c>
    </row>
    <row r="18" spans="2:86" s="10" customFormat="1">
      <c r="B18" s="79"/>
      <c r="C18" s="368"/>
      <c r="D18" s="367"/>
      <c r="E18" s="400"/>
      <c r="F18" s="415"/>
      <c r="G18" s="275"/>
      <c r="H18" s="69"/>
      <c r="I18" s="69"/>
      <c r="J18" s="69"/>
      <c r="K18" s="69"/>
      <c r="L18" s="310"/>
      <c r="M18" s="69"/>
      <c r="N18" s="69"/>
      <c r="O18" s="69"/>
      <c r="P18" s="69"/>
      <c r="Q18" s="69"/>
      <c r="R18" s="69"/>
      <c r="S18" s="69"/>
      <c r="T18" s="69"/>
      <c r="U18" s="69"/>
      <c r="V18" s="133" t="str">
        <f t="shared" si="10"/>
        <v/>
      </c>
      <c r="W18" s="342" t="str">
        <f t="shared" si="11"/>
        <v/>
      </c>
      <c r="X18" s="59" t="str">
        <f t="shared" si="12"/>
        <v/>
      </c>
      <c r="Y18" s="59" t="str">
        <f t="shared" si="13"/>
        <v/>
      </c>
      <c r="Z18" s="59" t="str">
        <f t="shared" si="14"/>
        <v/>
      </c>
      <c r="AA18" s="169" t="str">
        <f t="shared" si="15"/>
        <v/>
      </c>
      <c r="AB18" s="169" t="str">
        <f t="shared" si="16"/>
        <v/>
      </c>
      <c r="AC18" s="59" t="str">
        <f t="shared" si="17"/>
        <v/>
      </c>
      <c r="AD18" s="59" t="str">
        <f t="shared" si="18"/>
        <v/>
      </c>
      <c r="AE18" s="59"/>
      <c r="AF18" s="59" t="str">
        <f t="shared" si="19"/>
        <v/>
      </c>
      <c r="AG18" s="59" t="str">
        <f t="shared" si="20"/>
        <v/>
      </c>
      <c r="AH18" s="217" t="str">
        <f t="shared" si="21"/>
        <v/>
      </c>
      <c r="AI18" s="305">
        <v>59</v>
      </c>
      <c r="AJ18" s="193" t="str">
        <f t="shared" si="22"/>
        <v/>
      </c>
      <c r="AK18" s="164"/>
      <c r="AL18" s="33"/>
      <c r="AM18" s="284"/>
      <c r="AN18" s="284"/>
      <c r="AO18" s="284"/>
      <c r="AP18" s="293"/>
      <c r="AQ18" s="358"/>
      <c r="AR18" s="296"/>
      <c r="AS18" s="296"/>
      <c r="AT18" s="94"/>
      <c r="AU18" s="86"/>
      <c r="AV18" s="94"/>
      <c r="AW18" s="155"/>
      <c r="AX18" s="158"/>
      <c r="AY18" s="276"/>
      <c r="AZ18" s="199"/>
      <c r="BA18" s="401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93"/>
      <c r="CB18" s="10" t="s">
        <v>152</v>
      </c>
      <c r="CE18" s="10" t="s">
        <v>152</v>
      </c>
      <c r="CG18" s="10" t="s">
        <v>152</v>
      </c>
      <c r="CH18" s="10" t="s">
        <v>152</v>
      </c>
    </row>
    <row r="19" spans="2:86" s="10" customFormat="1">
      <c r="B19" s="5"/>
      <c r="C19" s="254"/>
      <c r="D19" s="18"/>
      <c r="E19" s="398"/>
      <c r="F19" s="385"/>
      <c r="G19" s="17"/>
      <c r="H19" s="19"/>
      <c r="I19" s="19"/>
      <c r="J19" s="19"/>
      <c r="K19" s="19"/>
      <c r="L19" s="235"/>
      <c r="M19" s="19"/>
      <c r="N19" s="19"/>
      <c r="O19" s="19"/>
      <c r="P19" s="19"/>
      <c r="Q19" s="19"/>
      <c r="R19" s="19"/>
      <c r="S19" s="19"/>
      <c r="T19" s="19"/>
      <c r="U19" s="19"/>
      <c r="V19" s="135" t="str">
        <f t="shared" si="10"/>
        <v/>
      </c>
      <c r="W19" s="77" t="str">
        <f t="shared" si="11"/>
        <v/>
      </c>
      <c r="X19" s="60" t="str">
        <f t="shared" si="12"/>
        <v/>
      </c>
      <c r="Y19" s="60" t="str">
        <f t="shared" si="13"/>
        <v/>
      </c>
      <c r="Z19" s="60" t="str">
        <f t="shared" si="14"/>
        <v/>
      </c>
      <c r="AA19" s="136" t="str">
        <f t="shared" si="15"/>
        <v/>
      </c>
      <c r="AB19" s="136" t="str">
        <f t="shared" si="16"/>
        <v/>
      </c>
      <c r="AC19" s="60" t="str">
        <f t="shared" si="17"/>
        <v/>
      </c>
      <c r="AD19" s="60" t="str">
        <f t="shared" si="18"/>
        <v/>
      </c>
      <c r="AE19" s="60"/>
      <c r="AF19" s="60" t="str">
        <f t="shared" si="19"/>
        <v/>
      </c>
      <c r="AG19" s="60" t="str">
        <f t="shared" si="20"/>
        <v/>
      </c>
      <c r="AH19" s="190" t="str">
        <f t="shared" si="21"/>
        <v/>
      </c>
      <c r="AI19" s="304">
        <v>59</v>
      </c>
      <c r="AJ19" s="192" t="str">
        <f t="shared" si="22"/>
        <v/>
      </c>
      <c r="AK19" s="248"/>
      <c r="AL19" s="33"/>
      <c r="AM19" s="284"/>
      <c r="AN19" s="284"/>
      <c r="AO19" s="284"/>
      <c r="AP19" s="293"/>
      <c r="AQ19" s="284"/>
      <c r="AR19" s="296"/>
      <c r="AS19" s="296"/>
      <c r="AT19" s="94"/>
      <c r="AU19" s="87"/>
      <c r="AV19" s="94"/>
      <c r="AW19" s="141"/>
      <c r="AX19" s="142"/>
      <c r="AY19" s="205"/>
      <c r="AZ19" s="48"/>
      <c r="BA19" s="402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93"/>
      <c r="CB19" s="10" t="s">
        <v>152</v>
      </c>
      <c r="CE19" s="10" t="s">
        <v>152</v>
      </c>
      <c r="CG19" s="10" t="s">
        <v>152</v>
      </c>
      <c r="CH19" s="10" t="s">
        <v>152</v>
      </c>
    </row>
    <row r="20" spans="2:86" s="10" customFormat="1" ht="13.5" customHeight="1">
      <c r="B20" s="5"/>
      <c r="C20" s="254"/>
      <c r="D20" s="18"/>
      <c r="E20" s="398"/>
      <c r="F20" s="385"/>
      <c r="G20" s="17"/>
      <c r="H20" s="19"/>
      <c r="I20" s="19"/>
      <c r="J20" s="19"/>
      <c r="K20" s="19"/>
      <c r="L20" s="235"/>
      <c r="M20" s="19"/>
      <c r="N20" s="19"/>
      <c r="O20" s="372"/>
      <c r="P20" s="372"/>
      <c r="Q20" s="372"/>
      <c r="R20" s="372"/>
      <c r="S20" s="372"/>
      <c r="T20" s="372"/>
      <c r="U20" s="19"/>
      <c r="V20" s="135" t="str">
        <f t="shared" si="10"/>
        <v/>
      </c>
      <c r="W20" s="77" t="str">
        <f t="shared" si="11"/>
        <v/>
      </c>
      <c r="X20" s="60" t="str">
        <f t="shared" si="12"/>
        <v/>
      </c>
      <c r="Y20" s="60" t="str">
        <f t="shared" si="13"/>
        <v/>
      </c>
      <c r="Z20" s="60" t="str">
        <f t="shared" si="14"/>
        <v/>
      </c>
      <c r="AA20" s="136" t="str">
        <f t="shared" si="15"/>
        <v/>
      </c>
      <c r="AB20" s="136" t="str">
        <f t="shared" si="16"/>
        <v/>
      </c>
      <c r="AC20" s="60" t="str">
        <f t="shared" si="17"/>
        <v/>
      </c>
      <c r="AD20" s="60" t="str">
        <f t="shared" si="18"/>
        <v/>
      </c>
      <c r="AE20" s="60"/>
      <c r="AF20" s="60" t="str">
        <f t="shared" si="19"/>
        <v/>
      </c>
      <c r="AG20" s="60" t="str">
        <f t="shared" si="20"/>
        <v/>
      </c>
      <c r="AH20" s="190" t="str">
        <f t="shared" si="21"/>
        <v/>
      </c>
      <c r="AI20" s="306">
        <v>59</v>
      </c>
      <c r="AJ20" s="192" t="str">
        <f t="shared" si="22"/>
        <v/>
      </c>
      <c r="AK20" s="21"/>
      <c r="AL20" s="33"/>
      <c r="AM20" s="284"/>
      <c r="AN20" s="284"/>
      <c r="AO20" s="284"/>
      <c r="AP20" s="293"/>
      <c r="AQ20" s="284"/>
      <c r="AR20" s="296"/>
      <c r="AS20" s="296"/>
      <c r="AT20" s="94"/>
      <c r="AU20" s="87"/>
      <c r="AV20" s="94"/>
      <c r="AW20" s="141"/>
      <c r="AX20" s="142"/>
      <c r="AY20" s="205"/>
      <c r="AZ20" s="48"/>
      <c r="BA20" s="402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93"/>
      <c r="CB20" s="10" t="s">
        <v>152</v>
      </c>
      <c r="CE20" s="10" t="s">
        <v>152</v>
      </c>
      <c r="CG20" s="10" t="s">
        <v>152</v>
      </c>
      <c r="CH20" s="10" t="s">
        <v>152</v>
      </c>
    </row>
    <row r="21" spans="2:86" s="10" customFormat="1" ht="14.25" customHeight="1">
      <c r="B21" s="5"/>
      <c r="C21" s="254"/>
      <c r="D21" s="18"/>
      <c r="E21" s="398"/>
      <c r="F21" s="385"/>
      <c r="G21" s="17"/>
      <c r="H21" s="19"/>
      <c r="I21" s="19"/>
      <c r="J21" s="19"/>
      <c r="K21" s="19"/>
      <c r="L21" s="153"/>
      <c r="N21" s="19"/>
      <c r="O21" s="19"/>
      <c r="P21" s="19"/>
      <c r="Q21" s="19"/>
      <c r="R21" s="19"/>
      <c r="S21" s="19"/>
      <c r="T21" s="19"/>
      <c r="U21" s="19"/>
      <c r="V21" s="135"/>
      <c r="W21" s="77"/>
      <c r="X21" s="60"/>
      <c r="Y21" s="60"/>
      <c r="Z21" s="60"/>
      <c r="AA21" s="136"/>
      <c r="AB21" s="136"/>
      <c r="AC21" s="60"/>
      <c r="AD21" s="60"/>
      <c r="AE21" s="60"/>
      <c r="AF21" s="60"/>
      <c r="AG21" s="60" t="str">
        <f t="shared" si="20"/>
        <v/>
      </c>
      <c r="AH21" s="190" t="str">
        <f t="shared" si="21"/>
        <v/>
      </c>
      <c r="AI21" s="304">
        <v>59</v>
      </c>
      <c r="AJ21" s="192"/>
      <c r="AK21" s="248"/>
      <c r="AL21" s="33"/>
      <c r="AM21" s="284"/>
      <c r="AN21" s="361"/>
      <c r="AO21" s="284"/>
      <c r="AP21" s="293"/>
      <c r="AQ21" s="284"/>
      <c r="AR21" s="296"/>
      <c r="AS21" s="296"/>
      <c r="AU21" s="87"/>
      <c r="AW21" s="141"/>
      <c r="AX21" s="142"/>
      <c r="AY21" s="205"/>
      <c r="AZ21" s="48"/>
      <c r="BA21" s="402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CB21" s="10" t="s">
        <v>152</v>
      </c>
      <c r="CE21" s="10" t="s">
        <v>152</v>
      </c>
      <c r="CG21" s="10" t="s">
        <v>152</v>
      </c>
      <c r="CH21" s="10" t="s">
        <v>152</v>
      </c>
    </row>
    <row r="22" spans="2:86" s="10" customFormat="1">
      <c r="B22" s="5"/>
      <c r="C22" s="254"/>
      <c r="D22" s="256"/>
      <c r="E22" s="398"/>
      <c r="F22" s="385"/>
      <c r="G22" s="17"/>
      <c r="H22" s="19"/>
      <c r="I22" s="19"/>
      <c r="J22" s="19"/>
      <c r="K22" s="19"/>
      <c r="L22" s="235"/>
      <c r="M22" s="19"/>
      <c r="N22" s="19"/>
      <c r="O22" s="19"/>
      <c r="P22" s="19"/>
      <c r="Q22" s="19"/>
      <c r="R22" s="19"/>
      <c r="S22" s="19"/>
      <c r="T22" s="19"/>
      <c r="U22" s="19"/>
      <c r="V22" s="135" t="str">
        <f>IF((G22+H22+I22+J22+K22+L22+M22+N22+O22+P22+Q22+R22+S22+T22+U22+F22)&lt;&gt;0,(F22+G22+H22+I22+J22+K22+L22+M22+N22+O22+P22+Q22+R22+S22+T22+U22),"")</f>
        <v/>
      </c>
      <c r="W22" s="77" t="str">
        <f t="shared" ref="W22:W33" si="23">IF((G22+H22+I22+J22)&lt;&gt;0,4.07*(J22-C22-0.7*L22)-(7.6*(G22-0.06)+6.72*H22+1.43*I22),"")</f>
        <v/>
      </c>
      <c r="X22" s="60" t="str">
        <f t="shared" ref="X22:X33" si="24">IF((G22+H22+I22+J22)&lt;&gt;0,8.6*G22+5.07*H22+1.08*I22-3.07*(J22-C22-0.7*L22),"")</f>
        <v/>
      </c>
      <c r="Y22" s="60" t="str">
        <f t="shared" ref="Y22:Y33" si="25">IF((G22+H22+I22+J22)&lt;&gt;0,2.65*H22-1.69*I22,"")</f>
        <v/>
      </c>
      <c r="Z22" s="60" t="str">
        <f t="shared" ref="Z22:Z33" si="26">IF((G22+H22+I22+J22)&lt;&gt;0,3.04*I22,"")</f>
        <v/>
      </c>
      <c r="AA22" s="136" t="str">
        <f t="shared" ref="AA22:AA33" si="27">IF((H22+I22)&lt;&gt;0,G22/(H22+I22),"")</f>
        <v/>
      </c>
      <c r="AB22" s="136" t="str">
        <f t="shared" ref="AB22:AB33" si="28">IF(I22&lt;&gt;0,H22/I22,"")</f>
        <v/>
      </c>
      <c r="AC22" s="60" t="str">
        <f t="shared" ref="AC22:AC33" si="29">IF((G22+H22+I22)&lt;&gt;0,J22/(G22+H22+I22),"")</f>
        <v/>
      </c>
      <c r="AD22" s="60" t="str">
        <f t="shared" ref="AD22:AD33" si="30">IF((2.8*G22+1.18*H22+0.65*I22)&lt;&gt;0,100*(J22)/(2.8*G22+1.18*H22+0.65*I22),"")</f>
        <v/>
      </c>
      <c r="AE22" s="60"/>
      <c r="AF22" s="60" t="str">
        <f t="shared" ref="AF22:AF33" si="31">IF((G22+H22+I22+J22-(0.7*L22+(2/3)*F22+C22))&lt;&gt;0,IF((2.8*G22+1.65*H22+0.35*I22)&lt;&gt;0,100*(2.8*G22+1.65*H22+0.35*I22-(J22-0.7*L22-(2/3)*F22-C22))/(G22+H22+I22+J22-(0.7*L22+(2/3)*F22+C22)),""),"")</f>
        <v/>
      </c>
      <c r="AG22" s="60" t="str">
        <f t="shared" si="20"/>
        <v/>
      </c>
      <c r="AH22" s="190" t="str">
        <f t="shared" si="21"/>
        <v/>
      </c>
      <c r="AI22" s="306">
        <v>59</v>
      </c>
      <c r="AJ22" s="192" t="str">
        <f t="shared" ref="AJ22:AJ33" si="32">IF(G22="","",(W22-AI22)^2)</f>
        <v/>
      </c>
      <c r="AK22" s="248"/>
      <c r="AL22" s="33"/>
      <c r="AM22" s="284"/>
      <c r="AN22" s="284"/>
      <c r="AO22" s="284"/>
      <c r="AP22" s="293"/>
      <c r="AQ22" s="284"/>
      <c r="AR22" s="383"/>
      <c r="AS22" s="383"/>
      <c r="AT22" s="94"/>
      <c r="AU22" s="87"/>
      <c r="AV22" s="94"/>
      <c r="AW22" s="141"/>
      <c r="AX22" s="142"/>
      <c r="AY22" s="205"/>
      <c r="AZ22" s="82"/>
      <c r="BA22" s="403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271"/>
      <c r="CB22" s="10" t="s">
        <v>152</v>
      </c>
      <c r="CE22" s="10" t="s">
        <v>152</v>
      </c>
      <c r="CG22" s="10" t="s">
        <v>152</v>
      </c>
      <c r="CH22" s="10" t="s">
        <v>152</v>
      </c>
    </row>
    <row r="23" spans="2:86" s="10" customFormat="1" ht="13.5" customHeight="1">
      <c r="B23" s="5"/>
      <c r="C23" s="254"/>
      <c r="D23" s="18"/>
      <c r="E23" s="398"/>
      <c r="F23" s="385"/>
      <c r="G23" s="17"/>
      <c r="H23" s="19"/>
      <c r="I23" s="19"/>
      <c r="J23" s="19"/>
      <c r="K23" s="19"/>
      <c r="L23" s="235"/>
      <c r="M23" s="19"/>
      <c r="N23" s="19"/>
      <c r="O23" s="19"/>
      <c r="P23" s="19"/>
      <c r="Q23" s="19"/>
      <c r="R23" s="19"/>
      <c r="S23" s="19"/>
      <c r="T23" s="19"/>
      <c r="U23" s="19"/>
      <c r="V23" s="135" t="str">
        <f>IF((G23+H23+I23+J23+K23+L23+M23+N23+O23+P23+Q23+R23+S23+T23+U23+F23)&lt;&gt;0,(F23+G23+H23+I23+J23+K23+L23+M23+N23+O23+P23+Q23+R23+S23+T23+U23),"")</f>
        <v/>
      </c>
      <c r="W23" s="77" t="str">
        <f t="shared" si="23"/>
        <v/>
      </c>
      <c r="X23" s="60" t="str">
        <f t="shared" si="24"/>
        <v/>
      </c>
      <c r="Y23" s="60" t="str">
        <f t="shared" si="25"/>
        <v/>
      </c>
      <c r="Z23" s="60" t="str">
        <f t="shared" si="26"/>
        <v/>
      </c>
      <c r="AA23" s="136" t="str">
        <f t="shared" si="27"/>
        <v/>
      </c>
      <c r="AB23" s="136" t="str">
        <f t="shared" si="28"/>
        <v/>
      </c>
      <c r="AC23" s="60" t="str">
        <f t="shared" si="29"/>
        <v/>
      </c>
      <c r="AD23" s="60" t="str">
        <f t="shared" si="30"/>
        <v/>
      </c>
      <c r="AE23" s="60"/>
      <c r="AF23" s="60" t="str">
        <f t="shared" si="31"/>
        <v/>
      </c>
      <c r="AG23" s="60" t="str">
        <f t="shared" si="20"/>
        <v/>
      </c>
      <c r="AH23" s="190" t="str">
        <f t="shared" si="21"/>
        <v/>
      </c>
      <c r="AI23" s="304">
        <v>59</v>
      </c>
      <c r="AJ23" s="192" t="str">
        <f t="shared" si="32"/>
        <v/>
      </c>
      <c r="AK23" s="248"/>
      <c r="AL23" s="33"/>
      <c r="AM23" s="284"/>
      <c r="AN23" s="284"/>
      <c r="AO23" s="284"/>
      <c r="AP23" s="293"/>
      <c r="AQ23" s="284"/>
      <c r="AR23" s="296"/>
      <c r="AS23" s="296"/>
      <c r="AT23" s="94"/>
      <c r="AU23" s="87"/>
      <c r="AV23" s="94"/>
      <c r="AW23" s="141"/>
      <c r="AX23" s="142"/>
      <c r="AY23" s="205"/>
      <c r="AZ23" s="48"/>
      <c r="BA23" s="402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271"/>
      <c r="CB23" s="10" t="s">
        <v>152</v>
      </c>
      <c r="CE23" s="10" t="s">
        <v>152</v>
      </c>
      <c r="CG23" s="10" t="s">
        <v>152</v>
      </c>
      <c r="CH23" s="10" t="s">
        <v>152</v>
      </c>
    </row>
    <row r="24" spans="2:86" s="10" customFormat="1">
      <c r="B24" s="5"/>
      <c r="C24" s="254"/>
      <c r="D24" s="18"/>
      <c r="E24" s="398"/>
      <c r="F24" s="385"/>
      <c r="G24" s="17"/>
      <c r="H24" s="19"/>
      <c r="I24" s="19"/>
      <c r="J24" s="19"/>
      <c r="K24" s="19"/>
      <c r="L24" s="235"/>
      <c r="M24" s="19"/>
      <c r="N24" s="19"/>
      <c r="O24" s="19"/>
      <c r="P24" s="19"/>
      <c r="Q24" s="19"/>
      <c r="R24" s="19"/>
      <c r="S24" s="19"/>
      <c r="T24" s="19"/>
      <c r="U24" s="19"/>
      <c r="V24" s="135" t="str">
        <f>IF((G24+H24+I24+J24+K24+L24+M24+N24+O24+P24+Q24+R24+S24+T24+U24+F24)&lt;&gt;0,(F24+G24+H24+I24+J24+K24+L24+M24+N24+O24+P24+Q24+R24+S24+T24+U24),"")</f>
        <v/>
      </c>
      <c r="W24" s="77" t="str">
        <f t="shared" si="23"/>
        <v/>
      </c>
      <c r="X24" s="60" t="str">
        <f t="shared" si="24"/>
        <v/>
      </c>
      <c r="Y24" s="60" t="str">
        <f t="shared" si="25"/>
        <v/>
      </c>
      <c r="Z24" s="60" t="str">
        <f t="shared" si="26"/>
        <v/>
      </c>
      <c r="AA24" s="136" t="str">
        <f t="shared" si="27"/>
        <v/>
      </c>
      <c r="AB24" s="136" t="str">
        <f t="shared" si="28"/>
        <v/>
      </c>
      <c r="AC24" s="60" t="str">
        <f t="shared" si="29"/>
        <v/>
      </c>
      <c r="AD24" s="60" t="str">
        <f t="shared" si="30"/>
        <v/>
      </c>
      <c r="AE24" s="60"/>
      <c r="AF24" s="60" t="str">
        <f t="shared" si="31"/>
        <v/>
      </c>
      <c r="AG24" s="60" t="str">
        <f t="shared" si="20"/>
        <v/>
      </c>
      <c r="AH24" s="190" t="str">
        <f t="shared" si="21"/>
        <v/>
      </c>
      <c r="AI24" s="306">
        <v>59</v>
      </c>
      <c r="AJ24" s="192" t="str">
        <f t="shared" si="32"/>
        <v/>
      </c>
      <c r="AK24" s="248"/>
      <c r="AL24" s="33"/>
      <c r="AM24" s="284"/>
      <c r="AN24" s="284"/>
      <c r="AO24" s="284"/>
      <c r="AP24" s="293"/>
      <c r="AQ24" s="284"/>
      <c r="AR24" s="383"/>
      <c r="AS24" s="296"/>
      <c r="AT24" s="94"/>
      <c r="AU24" s="87"/>
      <c r="AV24" s="94"/>
      <c r="AW24" s="141"/>
      <c r="AX24" s="142"/>
      <c r="AY24" s="205"/>
      <c r="AZ24" s="199"/>
      <c r="BA24" s="401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9"/>
      <c r="CB24" s="10" t="s">
        <v>152</v>
      </c>
      <c r="CE24" s="10" t="s">
        <v>152</v>
      </c>
      <c r="CG24" s="10" t="s">
        <v>152</v>
      </c>
      <c r="CH24" s="10" t="s">
        <v>152</v>
      </c>
    </row>
    <row r="25" spans="2:86" s="10" customFormat="1" ht="13.5" thickBot="1">
      <c r="B25" s="7"/>
      <c r="C25" s="380"/>
      <c r="D25" s="257"/>
      <c r="E25" s="412"/>
      <c r="F25" s="417"/>
      <c r="G25" s="166"/>
      <c r="H25" s="24"/>
      <c r="I25" s="24"/>
      <c r="J25" s="24"/>
      <c r="K25" s="156"/>
      <c r="L25" s="283"/>
      <c r="M25" s="24"/>
      <c r="N25" s="24"/>
      <c r="O25" s="24"/>
      <c r="P25" s="24"/>
      <c r="Q25" s="24"/>
      <c r="R25" s="24"/>
      <c r="S25" s="24"/>
      <c r="T25" s="24"/>
      <c r="U25" s="24"/>
      <c r="V25" s="167" t="str">
        <f>IF((G25+H25+I25+J25+V1+L25+M25+N25+O25+P25+Q25+R25+S25+T25+U25+F25)&lt;&gt;0,(F25+G25+H25+I25+J25+V1+L25+M25+N25+O25+P25+Q25+R25+S25+T25+U25),"")</f>
        <v/>
      </c>
      <c r="W25" s="375" t="str">
        <f t="shared" si="23"/>
        <v/>
      </c>
      <c r="X25" s="62" t="str">
        <f t="shared" si="24"/>
        <v/>
      </c>
      <c r="Y25" s="62" t="str">
        <f t="shared" si="25"/>
        <v/>
      </c>
      <c r="Z25" s="62" t="str">
        <f t="shared" si="26"/>
        <v/>
      </c>
      <c r="AA25" s="137" t="str">
        <f t="shared" si="27"/>
        <v/>
      </c>
      <c r="AB25" s="137" t="str">
        <f t="shared" si="28"/>
        <v/>
      </c>
      <c r="AC25" s="62" t="str">
        <f t="shared" si="29"/>
        <v/>
      </c>
      <c r="AD25" s="62" t="str">
        <f t="shared" si="30"/>
        <v/>
      </c>
      <c r="AE25" s="62"/>
      <c r="AF25" s="62" t="str">
        <f t="shared" si="31"/>
        <v/>
      </c>
      <c r="AG25" s="62" t="str">
        <f>IF((3*H25+2.25*I25+V1+N25+M25)&lt;&gt;0,3*H25+2.25*I25+V1+N25+M25,"")</f>
        <v/>
      </c>
      <c r="AH25" s="376" t="str">
        <f t="shared" si="21"/>
        <v/>
      </c>
      <c r="AI25" s="378">
        <v>59</v>
      </c>
      <c r="AJ25" s="377" t="str">
        <f t="shared" si="32"/>
        <v/>
      </c>
      <c r="AK25" s="249"/>
      <c r="AL25" s="33"/>
      <c r="AM25" s="297"/>
      <c r="AN25" s="297"/>
      <c r="AO25" s="297"/>
      <c r="AP25" s="298"/>
      <c r="AQ25" s="297"/>
      <c r="AR25" s="298"/>
      <c r="AS25" s="298"/>
      <c r="AT25" s="94"/>
      <c r="AU25" s="87"/>
      <c r="AV25" s="94"/>
      <c r="AW25" s="143"/>
      <c r="AX25" s="144"/>
      <c r="AY25" s="277"/>
      <c r="AZ25" s="49"/>
      <c r="BA25" s="40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CB25" s="10" t="s">
        <v>152</v>
      </c>
      <c r="CE25" s="10" t="s">
        <v>152</v>
      </c>
      <c r="CG25" s="10" t="s">
        <v>152</v>
      </c>
      <c r="CH25" s="10" t="s">
        <v>152</v>
      </c>
    </row>
    <row r="26" spans="2:86" s="10" customFormat="1">
      <c r="B26" s="250"/>
      <c r="C26" s="368"/>
      <c r="D26" s="186"/>
      <c r="E26" s="413"/>
      <c r="F26" s="415"/>
      <c r="G26" s="17"/>
      <c r="H26" s="19"/>
      <c r="I26" s="19"/>
      <c r="J26" s="19"/>
      <c r="K26" s="69"/>
      <c r="L26" s="235"/>
      <c r="M26" s="19"/>
      <c r="N26" s="19"/>
      <c r="O26" s="19"/>
      <c r="P26" s="19"/>
      <c r="Q26" s="19"/>
      <c r="R26" s="19"/>
      <c r="S26" s="19"/>
      <c r="T26" s="19"/>
      <c r="U26" s="69"/>
      <c r="V26" s="134" t="str">
        <f t="shared" ref="V26:V33" si="33">IF((G26+H26+I26+J26+K26+L26+M26+N26+O26+P26+Q26+R26+S26+T26+U26+F26)&lt;&gt;0,(F26+G26+H26+I26+J26+K26+L26+M26+N26+O26+P26+Q26+R26+S26+T26+U26),"")</f>
        <v/>
      </c>
      <c r="W26" s="374" t="str">
        <f t="shared" si="23"/>
        <v/>
      </c>
      <c r="X26" s="83" t="str">
        <f t="shared" si="24"/>
        <v/>
      </c>
      <c r="Y26" s="83" t="str">
        <f t="shared" si="25"/>
        <v/>
      </c>
      <c r="Z26" s="83" t="str">
        <f t="shared" si="26"/>
        <v/>
      </c>
      <c r="AA26" s="195" t="str">
        <f t="shared" si="27"/>
        <v/>
      </c>
      <c r="AB26" s="195" t="str">
        <f t="shared" si="28"/>
        <v/>
      </c>
      <c r="AC26" s="83" t="str">
        <f t="shared" si="29"/>
        <v/>
      </c>
      <c r="AD26" s="83" t="str">
        <f t="shared" si="30"/>
        <v/>
      </c>
      <c r="AE26" s="83"/>
      <c r="AF26" s="83" t="str">
        <f t="shared" si="31"/>
        <v/>
      </c>
      <c r="AG26" s="83" t="str">
        <f t="shared" ref="AG26:AG33" si="34">IF((3*H26+2.25*I26+K26+N26+M26)&lt;&gt;0,3*H26+2.25*I26+K26+N26+M26,"")</f>
        <v/>
      </c>
      <c r="AH26" s="325" t="str">
        <f t="shared" si="21"/>
        <v/>
      </c>
      <c r="AI26" s="306">
        <v>59</v>
      </c>
      <c r="AJ26" s="324" t="str">
        <f t="shared" si="32"/>
        <v/>
      </c>
      <c r="AK26" s="164"/>
      <c r="AL26" s="33"/>
      <c r="AM26" s="284"/>
      <c r="AN26" s="284"/>
      <c r="AO26" s="284"/>
      <c r="AP26" s="293"/>
      <c r="AQ26" s="358"/>
      <c r="AR26" s="296"/>
      <c r="AS26" s="296"/>
      <c r="AT26" s="94"/>
      <c r="AU26" s="86"/>
      <c r="AV26" s="94"/>
      <c r="AW26" s="149"/>
      <c r="AX26" s="273"/>
      <c r="AY26" s="274"/>
      <c r="AZ26" s="199"/>
      <c r="BA26" s="401"/>
      <c r="BB26" s="275"/>
      <c r="BC26" s="275"/>
      <c r="BD26" s="275"/>
      <c r="BE26" s="275"/>
      <c r="BF26" s="275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CB26" s="10" t="s">
        <v>152</v>
      </c>
      <c r="CE26" s="10" t="s">
        <v>152</v>
      </c>
      <c r="CG26" s="10" t="s">
        <v>152</v>
      </c>
      <c r="CH26" s="10" t="s">
        <v>152</v>
      </c>
    </row>
    <row r="27" spans="2:86" s="10" customFormat="1" ht="13.5" customHeight="1">
      <c r="B27" s="250"/>
      <c r="C27" s="254"/>
      <c r="D27" s="18"/>
      <c r="E27" s="398"/>
      <c r="F27" s="385"/>
      <c r="G27" s="17"/>
      <c r="H27" s="19"/>
      <c r="I27" s="153"/>
      <c r="J27" s="19"/>
      <c r="K27" s="19"/>
      <c r="L27" s="235"/>
      <c r="M27" s="19"/>
      <c r="N27" s="19"/>
      <c r="O27" s="19"/>
      <c r="P27" s="311"/>
      <c r="Q27" s="19"/>
      <c r="R27" s="19"/>
      <c r="S27" s="19"/>
      <c r="T27" s="19"/>
      <c r="U27" s="194"/>
      <c r="V27" s="135" t="str">
        <f t="shared" si="33"/>
        <v/>
      </c>
      <c r="W27" s="77" t="str">
        <f t="shared" si="23"/>
        <v/>
      </c>
      <c r="X27" s="60" t="str">
        <f t="shared" si="24"/>
        <v/>
      </c>
      <c r="Y27" s="60" t="str">
        <f t="shared" si="25"/>
        <v/>
      </c>
      <c r="Z27" s="60" t="str">
        <f t="shared" si="26"/>
        <v/>
      </c>
      <c r="AA27" s="136" t="str">
        <f t="shared" si="27"/>
        <v/>
      </c>
      <c r="AB27" s="136" t="str">
        <f t="shared" si="28"/>
        <v/>
      </c>
      <c r="AC27" s="60" t="str">
        <f t="shared" si="29"/>
        <v/>
      </c>
      <c r="AD27" s="60" t="str">
        <f t="shared" si="30"/>
        <v/>
      </c>
      <c r="AE27" s="60"/>
      <c r="AF27" s="60" t="str">
        <f t="shared" si="31"/>
        <v/>
      </c>
      <c r="AG27" s="60" t="str">
        <f t="shared" si="34"/>
        <v/>
      </c>
      <c r="AH27" s="190" t="str">
        <f t="shared" si="21"/>
        <v/>
      </c>
      <c r="AI27" s="306">
        <v>59</v>
      </c>
      <c r="AJ27" s="192" t="str">
        <f t="shared" si="32"/>
        <v/>
      </c>
      <c r="AK27" s="248"/>
      <c r="AL27" s="33"/>
      <c r="AM27" s="284"/>
      <c r="AN27" s="284"/>
      <c r="AO27" s="284"/>
      <c r="AP27" s="293"/>
      <c r="AQ27" s="284"/>
      <c r="AR27" s="296"/>
      <c r="AS27" s="296"/>
      <c r="AT27" s="94"/>
      <c r="AU27" s="87"/>
      <c r="AV27" s="94"/>
      <c r="AW27" s="141"/>
      <c r="AX27" s="142"/>
      <c r="AY27" s="145"/>
      <c r="AZ27" s="48"/>
      <c r="BA27" s="402"/>
      <c r="BB27" s="17"/>
      <c r="BC27" s="17"/>
      <c r="BD27" s="17"/>
      <c r="BE27" s="17"/>
      <c r="BF27" s="17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CB27" s="10" t="s">
        <v>152</v>
      </c>
      <c r="CE27" s="10" t="s">
        <v>152</v>
      </c>
      <c r="CG27" s="10" t="s">
        <v>152</v>
      </c>
      <c r="CH27" s="10" t="s">
        <v>152</v>
      </c>
    </row>
    <row r="28" spans="2:86" s="10" customFormat="1" ht="14.25" customHeight="1">
      <c r="B28" s="250"/>
      <c r="C28" s="254"/>
      <c r="D28" s="18"/>
      <c r="E28" s="398"/>
      <c r="F28" s="418"/>
      <c r="G28" s="17"/>
      <c r="H28" s="19"/>
      <c r="I28" s="19"/>
      <c r="J28" s="19"/>
      <c r="K28" s="19"/>
      <c r="L28" s="235"/>
      <c r="M28" s="19"/>
      <c r="N28" s="19"/>
      <c r="O28" s="19"/>
      <c r="P28" s="19"/>
      <c r="Q28" s="19"/>
      <c r="R28" s="19"/>
      <c r="S28" s="19"/>
      <c r="T28" s="19"/>
      <c r="U28" s="194"/>
      <c r="V28" s="135" t="str">
        <f t="shared" si="33"/>
        <v/>
      </c>
      <c r="W28" s="77" t="str">
        <f t="shared" si="23"/>
        <v/>
      </c>
      <c r="X28" s="60" t="str">
        <f t="shared" si="24"/>
        <v/>
      </c>
      <c r="Y28" s="60" t="str">
        <f t="shared" si="25"/>
        <v/>
      </c>
      <c r="Z28" s="60" t="str">
        <f t="shared" si="26"/>
        <v/>
      </c>
      <c r="AA28" s="136" t="str">
        <f t="shared" si="27"/>
        <v/>
      </c>
      <c r="AB28" s="136" t="str">
        <f t="shared" si="28"/>
        <v/>
      </c>
      <c r="AC28" s="60" t="str">
        <f t="shared" si="29"/>
        <v/>
      </c>
      <c r="AD28" s="60" t="str">
        <f t="shared" si="30"/>
        <v/>
      </c>
      <c r="AE28" s="60"/>
      <c r="AF28" s="60" t="str">
        <f t="shared" si="31"/>
        <v/>
      </c>
      <c r="AG28" s="60" t="str">
        <f t="shared" si="34"/>
        <v/>
      </c>
      <c r="AH28" s="190" t="str">
        <f t="shared" si="21"/>
        <v/>
      </c>
      <c r="AI28" s="306">
        <v>59</v>
      </c>
      <c r="AJ28" s="192" t="str">
        <f t="shared" si="32"/>
        <v/>
      </c>
      <c r="AK28" s="248"/>
      <c r="AL28" s="33"/>
      <c r="AM28" s="361"/>
      <c r="AN28" s="284"/>
      <c r="AO28" s="361"/>
      <c r="AP28" s="293"/>
      <c r="AQ28" s="284"/>
      <c r="AR28" s="383"/>
      <c r="AS28" s="383"/>
      <c r="AT28" s="94"/>
      <c r="AU28" s="87"/>
      <c r="AV28" s="94"/>
      <c r="AW28" s="141"/>
      <c r="AX28" s="142"/>
      <c r="AY28" s="145"/>
      <c r="AZ28" s="48"/>
      <c r="BA28" s="402"/>
      <c r="BB28" s="17"/>
      <c r="BC28" s="17"/>
      <c r="BD28" s="17"/>
      <c r="BE28" s="17"/>
      <c r="BF28" s="17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/>
      <c r="CB28" s="10" t="s">
        <v>152</v>
      </c>
      <c r="CE28" s="10" t="s">
        <v>152</v>
      </c>
      <c r="CG28" s="10" t="s">
        <v>152</v>
      </c>
      <c r="CH28" s="10" t="s">
        <v>152</v>
      </c>
    </row>
    <row r="29" spans="2:86" s="10" customFormat="1" ht="13.5" customHeight="1">
      <c r="B29" s="250"/>
      <c r="C29" s="254"/>
      <c r="D29" s="18"/>
      <c r="E29" s="398"/>
      <c r="F29" s="418"/>
      <c r="G29" s="17"/>
      <c r="H29" s="19"/>
      <c r="I29" s="153"/>
      <c r="J29" s="19"/>
      <c r="K29" s="19"/>
      <c r="L29" s="153"/>
      <c r="M29" s="19"/>
      <c r="N29" s="19"/>
      <c r="O29" s="19"/>
      <c r="P29" s="311"/>
      <c r="Q29" s="19"/>
      <c r="R29" s="19"/>
      <c r="S29" s="19"/>
      <c r="T29" s="19"/>
      <c r="U29" s="194"/>
      <c r="V29" s="135" t="str">
        <f t="shared" si="33"/>
        <v/>
      </c>
      <c r="W29" s="77" t="str">
        <f t="shared" si="23"/>
        <v/>
      </c>
      <c r="X29" s="60" t="str">
        <f t="shared" si="24"/>
        <v/>
      </c>
      <c r="Y29" s="60" t="str">
        <f t="shared" si="25"/>
        <v/>
      </c>
      <c r="Z29" s="60" t="str">
        <f t="shared" si="26"/>
        <v/>
      </c>
      <c r="AA29" s="136" t="str">
        <f t="shared" si="27"/>
        <v/>
      </c>
      <c r="AB29" s="136" t="str">
        <f t="shared" si="28"/>
        <v/>
      </c>
      <c r="AC29" s="60" t="str">
        <f t="shared" si="29"/>
        <v/>
      </c>
      <c r="AD29" s="60" t="str">
        <f t="shared" si="30"/>
        <v/>
      </c>
      <c r="AE29" s="60"/>
      <c r="AF29" s="60" t="str">
        <f t="shared" si="31"/>
        <v/>
      </c>
      <c r="AG29" s="60" t="str">
        <f t="shared" si="34"/>
        <v/>
      </c>
      <c r="AH29" s="190" t="str">
        <f t="shared" si="21"/>
        <v/>
      </c>
      <c r="AI29" s="306">
        <v>59</v>
      </c>
      <c r="AJ29" s="192" t="str">
        <f t="shared" si="32"/>
        <v/>
      </c>
      <c r="AK29" s="248"/>
      <c r="AL29" s="33"/>
      <c r="AM29" s="284"/>
      <c r="AN29" s="284"/>
      <c r="AO29" s="284"/>
      <c r="AP29" s="285"/>
      <c r="AQ29" s="284"/>
      <c r="AR29" s="296"/>
      <c r="AS29" s="296"/>
      <c r="AT29" s="94"/>
      <c r="AU29" s="87"/>
      <c r="AV29" s="94"/>
      <c r="AW29" s="141"/>
      <c r="AX29" s="142"/>
      <c r="AY29" s="145"/>
      <c r="AZ29" s="48"/>
      <c r="BA29" s="402"/>
      <c r="BB29" s="17"/>
      <c r="BC29" s="17"/>
      <c r="BD29" s="17"/>
      <c r="BE29" s="17"/>
      <c r="BF29" s="17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CB29" s="10" t="s">
        <v>152</v>
      </c>
      <c r="CE29" s="10" t="s">
        <v>152</v>
      </c>
      <c r="CG29" s="10" t="s">
        <v>152</v>
      </c>
      <c r="CH29" s="10" t="s">
        <v>152</v>
      </c>
    </row>
    <row r="30" spans="2:86" s="10" customFormat="1" ht="13.5" customHeight="1">
      <c r="B30" s="250"/>
      <c r="C30" s="254"/>
      <c r="D30" s="256"/>
      <c r="E30" s="398"/>
      <c r="F30" s="385"/>
      <c r="G30" s="17"/>
      <c r="H30" s="19"/>
      <c r="I30" s="19"/>
      <c r="J30" s="19"/>
      <c r="K30" s="19"/>
      <c r="L30" s="153"/>
      <c r="M30" s="19"/>
      <c r="N30" s="19"/>
      <c r="O30" s="19"/>
      <c r="P30" s="19"/>
      <c r="Q30" s="19"/>
      <c r="R30" s="19"/>
      <c r="S30" s="19"/>
      <c r="T30" s="19"/>
      <c r="U30" s="19"/>
      <c r="V30" s="135" t="str">
        <f t="shared" si="33"/>
        <v/>
      </c>
      <c r="W30" s="77" t="str">
        <f t="shared" si="23"/>
        <v/>
      </c>
      <c r="X30" s="60" t="str">
        <f t="shared" si="24"/>
        <v/>
      </c>
      <c r="Y30" s="60" t="str">
        <f t="shared" si="25"/>
        <v/>
      </c>
      <c r="Z30" s="60" t="str">
        <f t="shared" si="26"/>
        <v/>
      </c>
      <c r="AA30" s="136" t="str">
        <f t="shared" si="27"/>
        <v/>
      </c>
      <c r="AB30" s="136" t="str">
        <f t="shared" si="28"/>
        <v/>
      </c>
      <c r="AC30" s="60" t="str">
        <f t="shared" si="29"/>
        <v/>
      </c>
      <c r="AD30" s="60" t="str">
        <f t="shared" si="30"/>
        <v/>
      </c>
      <c r="AE30" s="60"/>
      <c r="AF30" s="60" t="str">
        <f t="shared" si="31"/>
        <v/>
      </c>
      <c r="AG30" s="60" t="str">
        <f t="shared" si="34"/>
        <v/>
      </c>
      <c r="AH30" s="190" t="str">
        <f t="shared" si="21"/>
        <v/>
      </c>
      <c r="AI30" s="306">
        <v>59</v>
      </c>
      <c r="AJ30" s="192" t="str">
        <f t="shared" si="32"/>
        <v/>
      </c>
      <c r="AK30" s="248"/>
      <c r="AL30" s="33"/>
      <c r="AM30" s="331"/>
      <c r="AN30" s="284"/>
      <c r="AO30" s="319"/>
      <c r="AP30" s="111"/>
      <c r="AQ30" s="284"/>
      <c r="AR30" s="296"/>
      <c r="AS30" s="296"/>
      <c r="AT30" s="94"/>
      <c r="AU30" s="87"/>
      <c r="AV30" s="94"/>
      <c r="AW30" s="141"/>
      <c r="AX30" s="142"/>
      <c r="AY30" s="145"/>
      <c r="AZ30" s="82"/>
      <c r="BA30" s="403"/>
      <c r="BB30" s="17"/>
      <c r="BC30" s="17"/>
      <c r="BD30" s="17"/>
      <c r="BE30" s="17"/>
      <c r="BF30" s="17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CB30" s="10" t="s">
        <v>152</v>
      </c>
      <c r="CE30" s="10" t="s">
        <v>152</v>
      </c>
      <c r="CG30" s="10" t="s">
        <v>152</v>
      </c>
      <c r="CH30" s="10" t="s">
        <v>152</v>
      </c>
    </row>
    <row r="31" spans="2:86" s="10" customFormat="1">
      <c r="B31" s="250"/>
      <c r="C31" s="254"/>
      <c r="D31" s="18"/>
      <c r="E31" s="398"/>
      <c r="F31" s="385"/>
      <c r="G31" s="17"/>
      <c r="H31" s="19"/>
      <c r="I31" s="19"/>
      <c r="J31" s="19"/>
      <c r="K31" s="19"/>
      <c r="L31" s="153"/>
      <c r="M31" s="19"/>
      <c r="N31" s="19"/>
      <c r="O31" s="19"/>
      <c r="P31" s="311"/>
      <c r="Q31" s="19"/>
      <c r="R31" s="19"/>
      <c r="S31" s="19"/>
      <c r="T31" s="19"/>
      <c r="U31" s="19"/>
      <c r="V31" s="135" t="str">
        <f t="shared" si="33"/>
        <v/>
      </c>
      <c r="W31" s="77" t="str">
        <f t="shared" si="23"/>
        <v/>
      </c>
      <c r="X31" s="60" t="str">
        <f t="shared" si="24"/>
        <v/>
      </c>
      <c r="Y31" s="60" t="str">
        <f t="shared" si="25"/>
        <v/>
      </c>
      <c r="Z31" s="60" t="str">
        <f t="shared" si="26"/>
        <v/>
      </c>
      <c r="AA31" s="136" t="str">
        <f t="shared" si="27"/>
        <v/>
      </c>
      <c r="AB31" s="136" t="str">
        <f t="shared" si="28"/>
        <v/>
      </c>
      <c r="AC31" s="60" t="str">
        <f t="shared" si="29"/>
        <v/>
      </c>
      <c r="AD31" s="60" t="str">
        <f t="shared" si="30"/>
        <v/>
      </c>
      <c r="AE31" s="60"/>
      <c r="AF31" s="60" t="str">
        <f t="shared" si="31"/>
        <v/>
      </c>
      <c r="AG31" s="60" t="str">
        <f t="shared" si="34"/>
        <v/>
      </c>
      <c r="AH31" s="190" t="str">
        <f t="shared" si="21"/>
        <v/>
      </c>
      <c r="AI31" s="306">
        <v>59</v>
      </c>
      <c r="AJ31" s="192" t="str">
        <f t="shared" si="32"/>
        <v/>
      </c>
      <c r="AK31" s="248"/>
      <c r="AL31" s="33"/>
      <c r="AM31" s="284"/>
      <c r="AN31" s="284"/>
      <c r="AO31" s="284"/>
      <c r="AP31" s="285"/>
      <c r="AQ31" s="284"/>
      <c r="AR31" s="296"/>
      <c r="AS31" s="296"/>
      <c r="AT31" s="94"/>
      <c r="AU31" s="87"/>
      <c r="AV31" s="94"/>
      <c r="AW31" s="141"/>
      <c r="AX31" s="142"/>
      <c r="AY31" s="145"/>
      <c r="AZ31" s="48"/>
      <c r="BA31" s="402"/>
      <c r="BB31" s="17"/>
      <c r="BC31" s="17"/>
      <c r="BD31" s="17"/>
      <c r="BE31" s="17"/>
      <c r="BF31" s="17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CB31" s="10" t="s">
        <v>152</v>
      </c>
      <c r="CE31" s="10" t="s">
        <v>152</v>
      </c>
      <c r="CG31" s="10" t="s">
        <v>152</v>
      </c>
      <c r="CH31" s="10" t="s">
        <v>152</v>
      </c>
    </row>
    <row r="32" spans="2:86" s="10" customFormat="1">
      <c r="B32" s="250"/>
      <c r="C32" s="254"/>
      <c r="D32" s="256"/>
      <c r="E32" s="398"/>
      <c r="F32" s="385"/>
      <c r="G32" s="414"/>
      <c r="H32" s="315"/>
      <c r="I32" s="19"/>
      <c r="J32" s="19"/>
      <c r="K32" s="19"/>
      <c r="L32" s="153"/>
      <c r="M32" s="19"/>
      <c r="N32" s="19"/>
      <c r="O32" s="19"/>
      <c r="P32" s="19"/>
      <c r="Q32" s="19"/>
      <c r="R32" s="19"/>
      <c r="S32" s="19"/>
      <c r="T32" s="19"/>
      <c r="U32" s="286"/>
      <c r="V32" s="135" t="str">
        <f t="shared" si="33"/>
        <v/>
      </c>
      <c r="W32" s="77" t="str">
        <f t="shared" si="23"/>
        <v/>
      </c>
      <c r="X32" s="60" t="str">
        <f t="shared" si="24"/>
        <v/>
      </c>
      <c r="Y32" s="60" t="str">
        <f t="shared" si="25"/>
        <v/>
      </c>
      <c r="Z32" s="60" t="str">
        <f t="shared" si="26"/>
        <v/>
      </c>
      <c r="AA32" s="136" t="str">
        <f t="shared" si="27"/>
        <v/>
      </c>
      <c r="AB32" s="136" t="str">
        <f t="shared" si="28"/>
        <v/>
      </c>
      <c r="AC32" s="60" t="str">
        <f t="shared" si="29"/>
        <v/>
      </c>
      <c r="AD32" s="60" t="str">
        <f t="shared" si="30"/>
        <v/>
      </c>
      <c r="AE32" s="60"/>
      <c r="AF32" s="60" t="str">
        <f t="shared" si="31"/>
        <v/>
      </c>
      <c r="AG32" s="60" t="str">
        <f t="shared" si="34"/>
        <v/>
      </c>
      <c r="AH32" s="190" t="str">
        <f t="shared" si="21"/>
        <v/>
      </c>
      <c r="AI32" s="306">
        <v>59</v>
      </c>
      <c r="AJ32" s="192" t="str">
        <f t="shared" si="32"/>
        <v/>
      </c>
      <c r="AK32" s="248"/>
      <c r="AL32" s="33"/>
      <c r="AM32" s="331"/>
      <c r="AN32" s="284"/>
      <c r="AO32" s="319"/>
      <c r="AP32" s="111"/>
      <c r="AQ32" s="284"/>
      <c r="AR32" s="296"/>
      <c r="AS32" s="296"/>
      <c r="AT32" s="94"/>
      <c r="AU32" s="87"/>
      <c r="AV32" s="94"/>
      <c r="AW32" s="141"/>
      <c r="AX32" s="142"/>
      <c r="AY32" s="145"/>
      <c r="AZ32" s="199"/>
      <c r="BA32" s="401"/>
      <c r="BB32" s="17"/>
      <c r="BC32" s="17"/>
      <c r="BD32" s="17"/>
      <c r="BE32" s="17"/>
      <c r="BF32" s="17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CB32" s="10" t="s">
        <v>152</v>
      </c>
      <c r="CE32" s="10" t="s">
        <v>152</v>
      </c>
      <c r="CG32" s="10" t="s">
        <v>152</v>
      </c>
      <c r="CH32" s="10" t="s">
        <v>152</v>
      </c>
    </row>
    <row r="33" spans="2:86" s="10" customFormat="1" ht="13.5" thickBot="1">
      <c r="B33" s="252"/>
      <c r="C33" s="380"/>
      <c r="D33" s="258"/>
      <c r="E33" s="363"/>
      <c r="F33" s="419"/>
      <c r="G33" s="166"/>
      <c r="H33" s="24"/>
      <c r="I33" s="24"/>
      <c r="J33" s="24"/>
      <c r="K33" s="24"/>
      <c r="L33" s="299"/>
      <c r="M33" s="24"/>
      <c r="N33" s="24"/>
      <c r="O33" s="24"/>
      <c r="P33" s="24"/>
      <c r="Q33" s="24"/>
      <c r="R33" s="24"/>
      <c r="S33" s="24"/>
      <c r="T33" s="24"/>
      <c r="U33" s="24"/>
      <c r="V33" s="167" t="str">
        <f t="shared" si="33"/>
        <v/>
      </c>
      <c r="W33" s="379" t="str">
        <f t="shared" si="23"/>
        <v/>
      </c>
      <c r="X33" s="62" t="str">
        <f t="shared" si="24"/>
        <v/>
      </c>
      <c r="Y33" s="62" t="str">
        <f t="shared" si="25"/>
        <v/>
      </c>
      <c r="Z33" s="62" t="str">
        <f t="shared" si="26"/>
        <v/>
      </c>
      <c r="AA33" s="137" t="str">
        <f t="shared" si="27"/>
        <v/>
      </c>
      <c r="AB33" s="137" t="str">
        <f t="shared" si="28"/>
        <v/>
      </c>
      <c r="AC33" s="62" t="str">
        <f t="shared" si="29"/>
        <v/>
      </c>
      <c r="AD33" s="62" t="str">
        <f t="shared" si="30"/>
        <v/>
      </c>
      <c r="AE33" s="62"/>
      <c r="AF33" s="62" t="str">
        <f t="shared" si="31"/>
        <v/>
      </c>
      <c r="AG33" s="62" t="str">
        <f t="shared" si="34"/>
        <v/>
      </c>
      <c r="AH33" s="376" t="str">
        <f t="shared" si="21"/>
        <v/>
      </c>
      <c r="AI33" s="359">
        <v>59</v>
      </c>
      <c r="AJ33" s="377" t="str">
        <f t="shared" si="32"/>
        <v/>
      </c>
      <c r="AK33" s="223"/>
      <c r="AL33" s="33"/>
      <c r="AM33" s="247"/>
      <c r="AN33" s="330"/>
      <c r="AO33" s="284"/>
      <c r="AP33" s="88"/>
      <c r="AQ33" s="294"/>
      <c r="AR33" s="88"/>
      <c r="AS33" s="293"/>
      <c r="AT33" s="94"/>
      <c r="AU33" s="88"/>
      <c r="AV33" s="94"/>
      <c r="AW33" s="143"/>
      <c r="AX33" s="144"/>
      <c r="AY33" s="180"/>
      <c r="AZ33" s="49"/>
      <c r="BA33" s="404"/>
      <c r="BB33" s="166"/>
      <c r="BC33" s="166"/>
      <c r="BD33" s="166"/>
      <c r="BE33" s="166"/>
      <c r="BF33" s="166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CB33" s="10" t="s">
        <v>152</v>
      </c>
      <c r="CE33" s="10" t="s">
        <v>152</v>
      </c>
      <c r="CG33" s="10" t="s">
        <v>152</v>
      </c>
      <c r="CH33" s="10" t="s">
        <v>152</v>
      </c>
    </row>
    <row r="34" spans="2:86" ht="13.5" thickBot="1">
      <c r="W34" s="31"/>
      <c r="AI34" s="31"/>
      <c r="AJ34" s="31"/>
      <c r="AL34" s="33"/>
      <c r="AM34" s="75"/>
      <c r="AN34" s="75"/>
      <c r="AO34" s="75"/>
      <c r="AP34" s="75"/>
      <c r="AQ34" s="76"/>
      <c r="AR34" s="75"/>
      <c r="AS34" s="75"/>
    </row>
    <row r="35" spans="2:86">
      <c r="E35" s="218"/>
      <c r="G35" s="218"/>
      <c r="H35"/>
      <c r="I35"/>
      <c r="J35"/>
      <c r="K35"/>
      <c r="L35"/>
      <c r="M35"/>
      <c r="N35"/>
      <c r="P35"/>
      <c r="Q35"/>
      <c r="R35"/>
      <c r="S35"/>
      <c r="V35" s="32"/>
      <c r="W35" s="31"/>
      <c r="X35" s="30"/>
      <c r="Y35" s="30"/>
      <c r="Z35" s="30"/>
      <c r="AA35" s="30"/>
      <c r="AB35" s="30"/>
      <c r="AC35" s="30"/>
      <c r="AD35" s="30"/>
      <c r="AE35" s="30"/>
      <c r="AN35" s="31" t="s">
        <v>114</v>
      </c>
      <c r="BM35" s="74" t="s">
        <v>36</v>
      </c>
    </row>
    <row r="36" spans="2:86">
      <c r="E36" s="218"/>
      <c r="G36" s="218"/>
      <c r="H36"/>
      <c r="I36"/>
      <c r="J36"/>
      <c r="K36"/>
      <c r="L36"/>
      <c r="M36"/>
      <c r="N36"/>
      <c r="P36"/>
      <c r="Q36"/>
      <c r="R36"/>
      <c r="S36"/>
      <c r="V36" s="32"/>
      <c r="W36" s="31"/>
    </row>
    <row r="37" spans="2:86" ht="15">
      <c r="E37" s="218"/>
      <c r="G37" s="329"/>
      <c r="H37" s="219"/>
      <c r="I37"/>
      <c r="J37"/>
      <c r="K37" s="219"/>
      <c r="L37"/>
      <c r="M37"/>
      <c r="N37"/>
      <c r="P37"/>
      <c r="Q37"/>
      <c r="R37"/>
      <c r="S37"/>
      <c r="V37" s="32"/>
      <c r="W37" s="31"/>
      <c r="AU37" s="317"/>
      <c r="AV37" s="317"/>
      <c r="AW37" s="318"/>
      <c r="AX37" s="317"/>
      <c r="AY37" s="317"/>
      <c r="AZ37" s="317"/>
      <c r="BA37" s="317"/>
      <c r="BB37" s="317"/>
      <c r="BC37" s="317"/>
      <c r="BD37" s="317"/>
      <c r="BE37" s="317"/>
      <c r="BF37" s="317"/>
      <c r="BG37" s="317"/>
      <c r="BH37" s="317"/>
      <c r="BI37" s="317"/>
      <c r="BJ37" s="317"/>
      <c r="BK37" s="317"/>
      <c r="BL37" s="317"/>
      <c r="BM37" s="317"/>
      <c r="BN37" s="317"/>
      <c r="BO37" s="317"/>
      <c r="BP37" s="317"/>
      <c r="BQ37" s="317"/>
      <c r="BR37" s="317"/>
      <c r="BS37" s="317"/>
    </row>
    <row r="38" spans="2:86" ht="15">
      <c r="E38" s="218"/>
      <c r="F38" s="219"/>
      <c r="G38" s="218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U38" s="317"/>
      <c r="AV38" s="317"/>
      <c r="AW38" s="318"/>
      <c r="AX38" s="317"/>
      <c r="AY38" s="317"/>
      <c r="AZ38" s="317"/>
      <c r="BA38" s="317"/>
      <c r="BB38" s="317"/>
      <c r="BC38" s="317"/>
      <c r="BD38" s="317"/>
      <c r="BE38" s="317"/>
      <c r="BF38" s="317"/>
      <c r="BG38" s="317"/>
      <c r="BH38" s="317"/>
      <c r="BI38" s="317"/>
      <c r="BJ38" s="317"/>
      <c r="BK38" s="317"/>
      <c r="BL38" s="317"/>
      <c r="BM38" s="317"/>
      <c r="BN38" s="317"/>
      <c r="BO38" s="317"/>
      <c r="BP38" s="317"/>
      <c r="BQ38" s="317"/>
      <c r="BR38" s="317"/>
      <c r="BS38" s="317"/>
    </row>
    <row r="39" spans="2:86" ht="15">
      <c r="E39" s="218"/>
      <c r="F39" s="219"/>
      <c r="G39" s="218"/>
      <c r="H39" s="219"/>
      <c r="I39" s="219"/>
      <c r="J39" s="219"/>
      <c r="K39" s="219"/>
      <c r="L39" s="373"/>
      <c r="M39" s="219"/>
      <c r="N39" s="219"/>
      <c r="O39" s="219"/>
      <c r="P39" s="219"/>
      <c r="Q39" s="219"/>
      <c r="R39" s="373"/>
      <c r="S39" s="219"/>
      <c r="T39" s="219"/>
      <c r="U39" s="219"/>
      <c r="V39" s="373"/>
      <c r="W39" s="219"/>
      <c r="X39" s="219"/>
      <c r="Y39" s="219"/>
      <c r="Z39" s="219"/>
      <c r="AA39" s="219"/>
      <c r="AU39" s="317"/>
      <c r="AV39" s="317"/>
      <c r="AW39" s="318"/>
      <c r="AX39" s="317"/>
      <c r="AY39" s="317"/>
      <c r="AZ39" s="317"/>
      <c r="BA39" s="317"/>
      <c r="BB39" s="317"/>
      <c r="BC39" s="317"/>
      <c r="BD39" s="317"/>
      <c r="BE39" s="317"/>
      <c r="BF39" s="317"/>
      <c r="BG39" s="317"/>
      <c r="BH39" s="317"/>
      <c r="BI39" s="317"/>
      <c r="BJ39" s="317"/>
      <c r="BK39" s="317"/>
      <c r="BL39" s="317"/>
      <c r="BM39" s="317"/>
      <c r="BN39" s="317"/>
      <c r="BO39" s="317"/>
      <c r="BP39" s="317"/>
      <c r="BQ39" s="317"/>
      <c r="BR39" s="317"/>
      <c r="BS39" s="317"/>
    </row>
    <row r="40" spans="2:86" ht="15">
      <c r="E40" s="218"/>
      <c r="F40"/>
      <c r="G40" s="218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U40" s="317"/>
      <c r="AV40" s="317"/>
      <c r="AW40" s="318"/>
      <c r="AX40" s="317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</row>
    <row r="41" spans="2:86" ht="15">
      <c r="H41" s="31"/>
      <c r="I41" s="31"/>
      <c r="K41" s="31"/>
      <c r="L41" s="31"/>
      <c r="W41" s="31"/>
      <c r="AU41" s="317"/>
      <c r="AV41" s="317"/>
      <c r="AW41" s="318"/>
      <c r="AX41" s="317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  <c r="BL41" s="317"/>
      <c r="BM41" s="317"/>
      <c r="BN41" s="317"/>
      <c r="BO41" s="317"/>
      <c r="BP41" s="317"/>
      <c r="BQ41" s="317"/>
      <c r="BR41" s="317"/>
      <c r="BS41" s="317"/>
    </row>
    <row r="42" spans="2:86" ht="15">
      <c r="H42" s="31"/>
      <c r="I42" s="31"/>
      <c r="K42" s="31"/>
      <c r="L42" s="31"/>
      <c r="W42" s="31"/>
      <c r="AU42" s="317"/>
      <c r="AV42" s="317"/>
      <c r="AW42" s="318"/>
      <c r="AX42" s="317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</row>
    <row r="43" spans="2:86" ht="15">
      <c r="H43" s="31"/>
      <c r="J43" s="30"/>
      <c r="M43" s="30"/>
      <c r="N43" s="30"/>
      <c r="O43" s="30"/>
      <c r="W43" s="31"/>
      <c r="AU43" s="317"/>
      <c r="AV43" s="317"/>
      <c r="AW43" s="318"/>
      <c r="AX43" s="317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  <c r="BL43" s="317"/>
      <c r="BM43" s="317"/>
      <c r="BN43" s="317"/>
      <c r="BO43" s="317"/>
      <c r="BP43" s="317"/>
      <c r="BQ43" s="317"/>
      <c r="BR43" s="317"/>
      <c r="BS43" s="317"/>
    </row>
    <row r="44" spans="2:86">
      <c r="H44" s="31"/>
      <c r="J44" s="30"/>
      <c r="M44" s="30"/>
      <c r="N44" s="30"/>
      <c r="O44" s="30"/>
      <c r="W44" s="31"/>
    </row>
    <row r="45" spans="2:86">
      <c r="H45" s="31"/>
      <c r="J45" s="30"/>
      <c r="M45" s="30"/>
      <c r="N45" s="30"/>
      <c r="O45" s="30"/>
      <c r="W45" s="31"/>
    </row>
    <row r="46" spans="2:86">
      <c r="H46" s="31"/>
      <c r="J46" s="30"/>
      <c r="M46" s="30"/>
      <c r="N46" s="30"/>
      <c r="O46" s="30"/>
      <c r="W46" s="31"/>
      <c r="X46" s="31" t="s">
        <v>109</v>
      </c>
    </row>
    <row r="47" spans="2:86">
      <c r="H47" s="31"/>
      <c r="J47" s="30"/>
      <c r="M47" s="30"/>
      <c r="N47" s="30"/>
      <c r="O47" s="30"/>
      <c r="W47" s="31"/>
    </row>
    <row r="48" spans="2:86">
      <c r="H48" s="31"/>
      <c r="J48" s="30"/>
      <c r="M48" s="30"/>
      <c r="N48" s="30"/>
      <c r="O48" s="30"/>
      <c r="W48" s="31"/>
    </row>
    <row r="49" spans="8:23">
      <c r="H49" s="31"/>
      <c r="J49" s="30"/>
      <c r="M49" s="30"/>
      <c r="N49" s="30"/>
      <c r="O49" s="30"/>
      <c r="W49" s="31"/>
    </row>
    <row r="50" spans="8:23">
      <c r="H50" s="31"/>
      <c r="J50" s="30"/>
      <c r="M50" s="30"/>
      <c r="N50" s="30"/>
      <c r="O50" s="30"/>
      <c r="W50" s="31"/>
    </row>
    <row r="51" spans="8:23">
      <c r="H51" s="31"/>
      <c r="J51" s="30"/>
      <c r="M51" s="30"/>
      <c r="N51" s="30"/>
      <c r="O51" s="30"/>
      <c r="W51" s="31"/>
    </row>
    <row r="52" spans="8:23">
      <c r="H52" s="31"/>
      <c r="J52" s="30"/>
      <c r="M52" s="30"/>
      <c r="N52" s="30"/>
      <c r="O52" s="30"/>
      <c r="W52" s="31"/>
    </row>
    <row r="53" spans="8:23">
      <c r="H53" s="31"/>
      <c r="J53" s="30"/>
      <c r="M53" s="30"/>
      <c r="N53" s="30"/>
      <c r="O53" s="30"/>
      <c r="W53" s="31"/>
    </row>
    <row r="54" spans="8:23">
      <c r="H54" s="31"/>
      <c r="J54" s="30"/>
      <c r="M54" s="30"/>
      <c r="N54" s="30"/>
      <c r="O54" s="30"/>
      <c r="W54" s="31"/>
    </row>
    <row r="55" spans="8:23">
      <c r="H55" s="31"/>
      <c r="J55" s="30"/>
      <c r="M55" s="30"/>
      <c r="N55" s="30"/>
      <c r="O55" s="30"/>
      <c r="W55" s="31"/>
    </row>
    <row r="56" spans="8:23">
      <c r="H56" s="31"/>
      <c r="J56" s="30"/>
      <c r="M56" s="30"/>
      <c r="N56" s="30"/>
      <c r="O56" s="30"/>
      <c r="W56" s="31"/>
    </row>
    <row r="57" spans="8:23">
      <c r="H57" s="31"/>
      <c r="J57" s="30"/>
      <c r="M57" s="30"/>
      <c r="N57" s="30"/>
      <c r="O57" s="30"/>
      <c r="W57" s="31"/>
    </row>
    <row r="58" spans="8:23">
      <c r="W58" s="31"/>
    </row>
    <row r="59" spans="8:23">
      <c r="W59" s="31"/>
    </row>
    <row r="60" spans="8:23">
      <c r="W60" s="31"/>
    </row>
    <row r="61" spans="8:23">
      <c r="W61" s="31"/>
    </row>
    <row r="62" spans="8:23">
      <c r="W62" s="31"/>
    </row>
    <row r="63" spans="8:23">
      <c r="W63" s="31"/>
    </row>
    <row r="64" spans="8:23">
      <c r="W64" s="31"/>
    </row>
    <row r="65" spans="23:23">
      <c r="W65" s="31"/>
    </row>
    <row r="66" spans="23:23">
      <c r="W66" s="31"/>
    </row>
    <row r="67" spans="23:23">
      <c r="W67" s="31"/>
    </row>
    <row r="68" spans="23:23">
      <c r="W68" s="31"/>
    </row>
    <row r="69" spans="23:23">
      <c r="W69" s="31"/>
    </row>
    <row r="70" spans="23:23">
      <c r="W70" s="31"/>
    </row>
    <row r="71" spans="23:23">
      <c r="W71" s="31"/>
    </row>
    <row r="72" spans="23:23">
      <c r="W72" s="31"/>
    </row>
    <row r="73" spans="23:23">
      <c r="W73" s="31"/>
    </row>
    <row r="74" spans="23:23">
      <c r="W74" s="31"/>
    </row>
    <row r="75" spans="23:23">
      <c r="W75" s="31"/>
    </row>
    <row r="76" spans="23:23">
      <c r="W76" s="31"/>
    </row>
    <row r="77" spans="23:23">
      <c r="W77" s="31"/>
    </row>
    <row r="78" spans="23:23">
      <c r="W78" s="31"/>
    </row>
    <row r="79" spans="23:23">
      <c r="W79" s="31"/>
    </row>
    <row r="80" spans="23:23">
      <c r="W80" s="31"/>
    </row>
    <row r="81" spans="23:23">
      <c r="W81" s="31"/>
    </row>
    <row r="82" spans="23:23">
      <c r="W82" s="31"/>
    </row>
    <row r="83" spans="23:23">
      <c r="W83" s="31"/>
    </row>
    <row r="84" spans="23:23">
      <c r="W84" s="31"/>
    </row>
    <row r="85" spans="23:23">
      <c r="W85" s="31"/>
    </row>
    <row r="86" spans="23:23">
      <c r="W86" s="31"/>
    </row>
    <row r="87" spans="23:23">
      <c r="W87" s="31"/>
    </row>
    <row r="88" spans="23:23">
      <c r="W88" s="31"/>
    </row>
    <row r="89" spans="23:23">
      <c r="W89" s="31"/>
    </row>
    <row r="90" spans="23:23">
      <c r="W90" s="31"/>
    </row>
    <row r="91" spans="23:23">
      <c r="W91" s="31"/>
    </row>
    <row r="92" spans="23:23">
      <c r="W92" s="31"/>
    </row>
    <row r="93" spans="23:23">
      <c r="W93" s="31"/>
    </row>
    <row r="94" spans="23:23">
      <c r="W94" s="31"/>
    </row>
    <row r="95" spans="23:23">
      <c r="W95" s="31"/>
    </row>
    <row r="96" spans="23:23">
      <c r="W96" s="31"/>
    </row>
    <row r="97" spans="23:23">
      <c r="W97" s="31"/>
    </row>
    <row r="98" spans="23:23">
      <c r="W98" s="31"/>
    </row>
    <row r="99" spans="23:23">
      <c r="W99" s="31"/>
    </row>
    <row r="100" spans="23:23">
      <c r="W100" s="31"/>
    </row>
    <row r="101" spans="23:23">
      <c r="W101" s="31"/>
    </row>
    <row r="102" spans="23:23">
      <c r="W102" s="31"/>
    </row>
    <row r="103" spans="23:23">
      <c r="W103" s="31"/>
    </row>
    <row r="104" spans="23:23">
      <c r="W104" s="31"/>
    </row>
    <row r="105" spans="23:23">
      <c r="W105" s="31"/>
    </row>
    <row r="106" spans="23:23">
      <c r="W106" s="31"/>
    </row>
    <row r="107" spans="23:23">
      <c r="W107" s="31"/>
    </row>
    <row r="108" spans="23:23">
      <c r="W108" s="31"/>
    </row>
    <row r="109" spans="23:23">
      <c r="W109" s="31"/>
    </row>
    <row r="110" spans="23:23">
      <c r="W110" s="31"/>
    </row>
    <row r="111" spans="23:23">
      <c r="W111" s="31"/>
    </row>
    <row r="112" spans="23:23">
      <c r="W112" s="31"/>
    </row>
    <row r="113" spans="23:23">
      <c r="W113" s="31"/>
    </row>
    <row r="114" spans="23:23">
      <c r="W114" s="31"/>
    </row>
    <row r="115" spans="23:23">
      <c r="W115" s="31"/>
    </row>
    <row r="116" spans="23:23">
      <c r="W116" s="31"/>
    </row>
    <row r="117" spans="23:23">
      <c r="W117" s="31"/>
    </row>
    <row r="118" spans="23:23">
      <c r="W118" s="31"/>
    </row>
    <row r="119" spans="23:23">
      <c r="W119" s="31"/>
    </row>
    <row r="120" spans="23:23">
      <c r="W120" s="31"/>
    </row>
    <row r="121" spans="23:23">
      <c r="W121" s="31"/>
    </row>
    <row r="122" spans="23:23">
      <c r="W122" s="31"/>
    </row>
    <row r="123" spans="23:23">
      <c r="W123" s="31"/>
    </row>
    <row r="124" spans="23:23">
      <c r="W124" s="31"/>
    </row>
    <row r="125" spans="23:23">
      <c r="W125" s="31"/>
    </row>
    <row r="126" spans="23:23">
      <c r="W126" s="31"/>
    </row>
    <row r="127" spans="23:23">
      <c r="W127" s="31"/>
    </row>
    <row r="128" spans="23:23">
      <c r="W128" s="31"/>
    </row>
    <row r="129" spans="23:23">
      <c r="W129" s="31"/>
    </row>
    <row r="130" spans="23:23">
      <c r="W130" s="31"/>
    </row>
    <row r="131" spans="23:23">
      <c r="W131" s="31"/>
    </row>
    <row r="132" spans="23:23">
      <c r="W132" s="31"/>
    </row>
    <row r="133" spans="23:23">
      <c r="W133" s="31"/>
    </row>
    <row r="134" spans="23:23">
      <c r="W134" s="31"/>
    </row>
    <row r="135" spans="23:23">
      <c r="W135" s="31"/>
    </row>
    <row r="136" spans="23:23">
      <c r="W136" s="31"/>
    </row>
    <row r="137" spans="23:23">
      <c r="W137" s="31"/>
    </row>
    <row r="138" spans="23:23">
      <c r="W138" s="31"/>
    </row>
    <row r="139" spans="23:23">
      <c r="W139" s="31"/>
    </row>
    <row r="140" spans="23:23">
      <c r="W140" s="31"/>
    </row>
    <row r="141" spans="23:23">
      <c r="W141" s="31"/>
    </row>
    <row r="142" spans="23:23">
      <c r="W142" s="31"/>
    </row>
    <row r="143" spans="23:23">
      <c r="W143" s="31"/>
    </row>
    <row r="144" spans="23:23">
      <c r="W144" s="31"/>
    </row>
    <row r="145" spans="10:23">
      <c r="W145" s="31"/>
    </row>
    <row r="146" spans="10:23">
      <c r="W146" s="31"/>
    </row>
    <row r="147" spans="10:23">
      <c r="J147" s="197" t="s">
        <v>92</v>
      </c>
      <c r="W147" s="31"/>
    </row>
    <row r="148" spans="10:23">
      <c r="W148" s="31"/>
    </row>
    <row r="149" spans="10:23">
      <c r="W149" s="31"/>
    </row>
    <row r="150" spans="10:23">
      <c r="W150" s="31"/>
    </row>
    <row r="151" spans="10:23">
      <c r="W151" s="31"/>
    </row>
    <row r="152" spans="10:23">
      <c r="W152" s="31"/>
    </row>
    <row r="153" spans="10:23">
      <c r="W153" s="31"/>
    </row>
    <row r="154" spans="10:23">
      <c r="W154" s="31"/>
    </row>
    <row r="155" spans="10:23">
      <c r="W155" s="31"/>
    </row>
    <row r="156" spans="10:23">
      <c r="W156" s="31"/>
    </row>
    <row r="157" spans="10:23">
      <c r="W157" s="31"/>
    </row>
    <row r="158" spans="10:23">
      <c r="W158" s="31"/>
    </row>
    <row r="159" spans="10:23">
      <c r="W159" s="31"/>
    </row>
    <row r="160" spans="10:23">
      <c r="W160" s="31"/>
    </row>
    <row r="161" spans="23:23">
      <c r="W161" s="31"/>
    </row>
    <row r="162" spans="23:23">
      <c r="W162" s="31"/>
    </row>
    <row r="163" spans="23:23">
      <c r="W163" s="31"/>
    </row>
    <row r="164" spans="23:23">
      <c r="W164" s="31"/>
    </row>
    <row r="165" spans="23:23">
      <c r="W165" s="31"/>
    </row>
    <row r="166" spans="23:23">
      <c r="W166" s="31"/>
    </row>
    <row r="167" spans="23:23">
      <c r="W167" s="31"/>
    </row>
    <row r="168" spans="23:23">
      <c r="W168" s="31"/>
    </row>
    <row r="169" spans="23:23">
      <c r="W169" s="31"/>
    </row>
    <row r="170" spans="23:23">
      <c r="W170" s="31"/>
    </row>
    <row r="171" spans="23:23">
      <c r="W171" s="31"/>
    </row>
    <row r="172" spans="23:23">
      <c r="W172" s="31"/>
    </row>
    <row r="173" spans="23:23">
      <c r="W173" s="31"/>
    </row>
    <row r="174" spans="23:23">
      <c r="W174" s="31"/>
    </row>
    <row r="175" spans="23:23">
      <c r="W175" s="31"/>
    </row>
    <row r="176" spans="23:23">
      <c r="W176" s="31"/>
    </row>
    <row r="177" spans="23:23">
      <c r="W177" s="31"/>
    </row>
    <row r="178" spans="23:23">
      <c r="W178" s="31"/>
    </row>
    <row r="179" spans="23:23">
      <c r="W179" s="31"/>
    </row>
    <row r="180" spans="23:23">
      <c r="W180" s="31"/>
    </row>
    <row r="181" spans="23:23">
      <c r="W181" s="31"/>
    </row>
    <row r="182" spans="23:23">
      <c r="W182" s="31"/>
    </row>
    <row r="183" spans="23:23">
      <c r="W183" s="31"/>
    </row>
    <row r="184" spans="23:23">
      <c r="W184" s="31"/>
    </row>
    <row r="185" spans="23:23">
      <c r="W185" s="31"/>
    </row>
    <row r="186" spans="23:23">
      <c r="W186" s="31"/>
    </row>
    <row r="187" spans="23:23">
      <c r="W187" s="31"/>
    </row>
    <row r="188" spans="23:23">
      <c r="W188" s="31"/>
    </row>
    <row r="189" spans="23:23">
      <c r="W189" s="31"/>
    </row>
    <row r="190" spans="23:23">
      <c r="W190" s="31"/>
    </row>
    <row r="191" spans="23:23">
      <c r="W191" s="31"/>
    </row>
    <row r="192" spans="23:23">
      <c r="W192" s="31"/>
    </row>
    <row r="193" spans="23:23">
      <c r="W193" s="31"/>
    </row>
    <row r="194" spans="23:23">
      <c r="W194" s="31"/>
    </row>
    <row r="195" spans="23:23">
      <c r="W195" s="31"/>
    </row>
    <row r="196" spans="23:23">
      <c r="W196" s="31"/>
    </row>
    <row r="197" spans="23:23">
      <c r="W197" s="31"/>
    </row>
    <row r="198" spans="23:23">
      <c r="W198" s="31"/>
    </row>
    <row r="199" spans="23:23">
      <c r="W199" s="31"/>
    </row>
    <row r="200" spans="23:23">
      <c r="W200" s="31"/>
    </row>
    <row r="201" spans="23:23">
      <c r="W201" s="31"/>
    </row>
    <row r="202" spans="23:23">
      <c r="W202" s="31"/>
    </row>
    <row r="203" spans="23:23">
      <c r="W203" s="31"/>
    </row>
    <row r="204" spans="23:23">
      <c r="W204" s="31"/>
    </row>
    <row r="205" spans="23:23">
      <c r="W205" s="31"/>
    </row>
    <row r="206" spans="23:23">
      <c r="W206" s="31"/>
    </row>
    <row r="207" spans="23:23">
      <c r="W207" s="31"/>
    </row>
    <row r="208" spans="23:23">
      <c r="W208" s="31"/>
    </row>
    <row r="209" spans="23:23">
      <c r="W209" s="31"/>
    </row>
    <row r="210" spans="23:23">
      <c r="W210" s="31"/>
    </row>
    <row r="211" spans="23:23">
      <c r="W211" s="31"/>
    </row>
    <row r="212" spans="23:23">
      <c r="W212" s="31"/>
    </row>
    <row r="213" spans="23:23">
      <c r="W213" s="31"/>
    </row>
    <row r="214" spans="23:23">
      <c r="W214" s="31"/>
    </row>
    <row r="215" spans="23:23">
      <c r="W215" s="31"/>
    </row>
    <row r="216" spans="23:23">
      <c r="W216" s="31"/>
    </row>
    <row r="217" spans="23:23">
      <c r="W217" s="31"/>
    </row>
    <row r="218" spans="23:23">
      <c r="W218" s="31"/>
    </row>
    <row r="219" spans="23:23">
      <c r="W219" s="31"/>
    </row>
    <row r="220" spans="23:23">
      <c r="W220" s="31"/>
    </row>
    <row r="221" spans="23:23">
      <c r="W221" s="31"/>
    </row>
    <row r="222" spans="23:23">
      <c r="W222" s="31"/>
    </row>
    <row r="223" spans="23:23">
      <c r="W223" s="31"/>
    </row>
    <row r="224" spans="23:23">
      <c r="W224" s="31"/>
    </row>
    <row r="225" spans="23:23">
      <c r="W225" s="31"/>
    </row>
    <row r="226" spans="23:23">
      <c r="W226" s="31"/>
    </row>
    <row r="227" spans="23:23">
      <c r="W227" s="31"/>
    </row>
    <row r="228" spans="23:23">
      <c r="W228" s="31"/>
    </row>
    <row r="229" spans="23:23">
      <c r="W229" s="31"/>
    </row>
    <row r="230" spans="23:23">
      <c r="W230" s="31"/>
    </row>
    <row r="231" spans="23:23">
      <c r="W231" s="31"/>
    </row>
    <row r="232" spans="23:23">
      <c r="W232" s="31"/>
    </row>
    <row r="233" spans="23:23">
      <c r="W233" s="31"/>
    </row>
    <row r="234" spans="23:23">
      <c r="W234" s="31"/>
    </row>
    <row r="235" spans="23:23">
      <c r="W235" s="31"/>
    </row>
    <row r="236" spans="23:23">
      <c r="W236" s="31"/>
    </row>
    <row r="237" spans="23:23">
      <c r="W237" s="31"/>
    </row>
    <row r="238" spans="23:23">
      <c r="W238" s="31"/>
    </row>
    <row r="239" spans="23:23">
      <c r="W239" s="31"/>
    </row>
    <row r="240" spans="23:23">
      <c r="W240" s="31"/>
    </row>
    <row r="241" spans="23:23">
      <c r="W241" s="31"/>
    </row>
    <row r="242" spans="23:23">
      <c r="W242" s="31"/>
    </row>
    <row r="243" spans="23:23">
      <c r="W243" s="31"/>
    </row>
    <row r="244" spans="23:23">
      <c r="W244" s="31"/>
    </row>
    <row r="245" spans="23:23">
      <c r="W245" s="31"/>
    </row>
    <row r="246" spans="23:23">
      <c r="W246" s="31"/>
    </row>
    <row r="247" spans="23:23">
      <c r="W247" s="31"/>
    </row>
    <row r="248" spans="23:23">
      <c r="W248" s="31"/>
    </row>
    <row r="249" spans="23:23">
      <c r="W249" s="31"/>
    </row>
    <row r="250" spans="23:23">
      <c r="W250" s="31"/>
    </row>
    <row r="251" spans="23:23">
      <c r="W251" s="31"/>
    </row>
    <row r="252" spans="23:23">
      <c r="W252" s="31"/>
    </row>
    <row r="253" spans="23:23">
      <c r="W253" s="31"/>
    </row>
    <row r="254" spans="23:23">
      <c r="W254" s="31"/>
    </row>
    <row r="255" spans="23:23">
      <c r="W255" s="31"/>
    </row>
    <row r="256" spans="23:23">
      <c r="W256" s="31"/>
    </row>
    <row r="257" spans="23:23">
      <c r="W257" s="31"/>
    </row>
    <row r="258" spans="23:23">
      <c r="W258" s="31"/>
    </row>
    <row r="259" spans="23:23">
      <c r="W259" s="31"/>
    </row>
    <row r="260" spans="23:23">
      <c r="W260" s="31"/>
    </row>
    <row r="261" spans="23:23">
      <c r="W261" s="31"/>
    </row>
    <row r="262" spans="23:23">
      <c r="W262" s="31"/>
    </row>
    <row r="263" spans="23:23">
      <c r="W263" s="31"/>
    </row>
    <row r="264" spans="23:23">
      <c r="W264" s="31"/>
    </row>
    <row r="265" spans="23:23">
      <c r="W265" s="31"/>
    </row>
    <row r="266" spans="23:23">
      <c r="W266" s="31"/>
    </row>
    <row r="267" spans="23:23">
      <c r="W267" s="31"/>
    </row>
    <row r="268" spans="23:23">
      <c r="W268" s="31"/>
    </row>
    <row r="269" spans="23:23">
      <c r="W269" s="31"/>
    </row>
    <row r="270" spans="23:23">
      <c r="W270" s="31"/>
    </row>
    <row r="271" spans="23:23">
      <c r="W271" s="31"/>
    </row>
    <row r="272" spans="23:23">
      <c r="W272" s="31"/>
    </row>
    <row r="273" spans="23:23">
      <c r="W273" s="31"/>
    </row>
    <row r="274" spans="23:23">
      <c r="W274" s="31"/>
    </row>
    <row r="275" spans="23:23">
      <c r="W275" s="31"/>
    </row>
    <row r="276" spans="23:23">
      <c r="W276" s="31"/>
    </row>
    <row r="277" spans="23:23">
      <c r="W277" s="31"/>
    </row>
    <row r="278" spans="23:23">
      <c r="W278" s="31"/>
    </row>
    <row r="279" spans="23:23">
      <c r="W279" s="31"/>
    </row>
    <row r="280" spans="23:23">
      <c r="W280" s="31"/>
    </row>
    <row r="281" spans="23:23">
      <c r="W281" s="31"/>
    </row>
    <row r="282" spans="23:23">
      <c r="W282" s="31"/>
    </row>
    <row r="283" spans="23:23">
      <c r="W283" s="31"/>
    </row>
    <row r="284" spans="23:23">
      <c r="W284" s="31"/>
    </row>
    <row r="285" spans="23:23">
      <c r="W285" s="31"/>
    </row>
    <row r="286" spans="23:23">
      <c r="W286" s="31"/>
    </row>
    <row r="287" spans="23:23">
      <c r="W287" s="31"/>
    </row>
    <row r="288" spans="23:23">
      <c r="W288" s="31"/>
    </row>
    <row r="289" spans="23:23">
      <c r="W289" s="31"/>
    </row>
    <row r="290" spans="23:23">
      <c r="W290" s="31"/>
    </row>
    <row r="291" spans="23:23">
      <c r="W291" s="31"/>
    </row>
    <row r="292" spans="23:23">
      <c r="W292" s="31"/>
    </row>
    <row r="293" spans="23:23">
      <c r="W293" s="31"/>
    </row>
    <row r="294" spans="23:23">
      <c r="W294" s="31"/>
    </row>
    <row r="295" spans="23:23">
      <c r="W295" s="31"/>
    </row>
    <row r="296" spans="23:23">
      <c r="W296" s="31"/>
    </row>
    <row r="297" spans="23:23">
      <c r="W297" s="31"/>
    </row>
    <row r="298" spans="23:23">
      <c r="W298" s="31"/>
    </row>
    <row r="299" spans="23:23">
      <c r="W299" s="31"/>
    </row>
    <row r="300" spans="23:23">
      <c r="W300" s="31"/>
    </row>
    <row r="301" spans="23:23">
      <c r="W301" s="31"/>
    </row>
    <row r="302" spans="23:23">
      <c r="W302" s="31"/>
    </row>
    <row r="303" spans="23:23">
      <c r="W303" s="31"/>
    </row>
    <row r="304" spans="23:23">
      <c r="W304" s="31"/>
    </row>
    <row r="305" spans="23:23">
      <c r="W305" s="31"/>
    </row>
    <row r="306" spans="23:23">
      <c r="W306" s="31"/>
    </row>
    <row r="307" spans="23:23">
      <c r="W307" s="31"/>
    </row>
    <row r="308" spans="23:23">
      <c r="W308" s="31"/>
    </row>
    <row r="309" spans="23:23">
      <c r="W309" s="31"/>
    </row>
    <row r="310" spans="23:23">
      <c r="W310" s="31"/>
    </row>
    <row r="311" spans="23:23">
      <c r="W311" s="31"/>
    </row>
    <row r="312" spans="23:23">
      <c r="W312" s="31"/>
    </row>
    <row r="313" spans="23:23">
      <c r="W313" s="31"/>
    </row>
    <row r="314" spans="23:23">
      <c r="W314" s="31"/>
    </row>
    <row r="315" spans="23:23">
      <c r="W315" s="31"/>
    </row>
    <row r="316" spans="23:23">
      <c r="W316" s="31"/>
    </row>
    <row r="317" spans="23:23">
      <c r="W317" s="31"/>
    </row>
    <row r="318" spans="23:23">
      <c r="W318" s="31"/>
    </row>
    <row r="319" spans="23:23">
      <c r="W319" s="31"/>
    </row>
    <row r="320" spans="23:23">
      <c r="W320" s="31"/>
    </row>
    <row r="321" spans="23:23">
      <c r="W321" s="31"/>
    </row>
    <row r="322" spans="23:23">
      <c r="W322" s="31"/>
    </row>
    <row r="323" spans="23:23">
      <c r="W323" s="31"/>
    </row>
    <row r="324" spans="23:23">
      <c r="W324" s="31"/>
    </row>
    <row r="325" spans="23:23">
      <c r="W325" s="31"/>
    </row>
    <row r="326" spans="23:23">
      <c r="W326" s="31"/>
    </row>
    <row r="327" spans="23:23">
      <c r="W327" s="31"/>
    </row>
    <row r="328" spans="23:23">
      <c r="W328" s="31"/>
    </row>
    <row r="329" spans="23:23">
      <c r="W329" s="31"/>
    </row>
    <row r="330" spans="23:23">
      <c r="W330" s="31"/>
    </row>
    <row r="331" spans="23:23">
      <c r="W331" s="31"/>
    </row>
    <row r="332" spans="23:23">
      <c r="W332" s="31"/>
    </row>
    <row r="333" spans="23:23">
      <c r="W333" s="31"/>
    </row>
    <row r="334" spans="23:23">
      <c r="W334" s="31"/>
    </row>
    <row r="335" spans="23:23">
      <c r="W335" s="31"/>
    </row>
    <row r="336" spans="23:23">
      <c r="W336" s="31"/>
    </row>
    <row r="337" spans="23:23">
      <c r="W337" s="31"/>
    </row>
    <row r="338" spans="23:23">
      <c r="W338" s="31"/>
    </row>
    <row r="339" spans="23:23">
      <c r="W339" s="31"/>
    </row>
    <row r="340" spans="23:23">
      <c r="W340" s="31"/>
    </row>
    <row r="341" spans="23:23">
      <c r="W341" s="31"/>
    </row>
    <row r="342" spans="23:23">
      <c r="W342" s="31"/>
    </row>
    <row r="343" spans="23:23">
      <c r="W343" s="31"/>
    </row>
    <row r="344" spans="23:23">
      <c r="W344" s="31"/>
    </row>
    <row r="345" spans="23:23">
      <c r="W345" s="31"/>
    </row>
    <row r="346" spans="23:23">
      <c r="W346" s="31"/>
    </row>
    <row r="347" spans="23:23">
      <c r="W347" s="31"/>
    </row>
    <row r="348" spans="23:23">
      <c r="W348" s="31"/>
    </row>
    <row r="349" spans="23:23">
      <c r="W349" s="31"/>
    </row>
    <row r="350" spans="23:23">
      <c r="W350" s="31"/>
    </row>
    <row r="351" spans="23:23">
      <c r="W351" s="31"/>
    </row>
    <row r="352" spans="23:23">
      <c r="W352" s="31"/>
    </row>
    <row r="353" spans="23:23">
      <c r="W353" s="31"/>
    </row>
    <row r="354" spans="23:23">
      <c r="W354" s="31"/>
    </row>
    <row r="355" spans="23:23">
      <c r="W355" s="31"/>
    </row>
    <row r="356" spans="23:23">
      <c r="W356" s="31"/>
    </row>
    <row r="357" spans="23:23">
      <c r="W357" s="31"/>
    </row>
    <row r="358" spans="23:23">
      <c r="W358" s="31"/>
    </row>
    <row r="359" spans="23:23">
      <c r="W359" s="31"/>
    </row>
    <row r="360" spans="23:23">
      <c r="W360" s="31"/>
    </row>
    <row r="361" spans="23:23">
      <c r="W361" s="31"/>
    </row>
    <row r="362" spans="23:23">
      <c r="W362" s="31"/>
    </row>
    <row r="363" spans="23:23">
      <c r="W363" s="31"/>
    </row>
    <row r="364" spans="23:23">
      <c r="W364" s="31"/>
    </row>
    <row r="365" spans="23:23">
      <c r="W365" s="31"/>
    </row>
    <row r="366" spans="23:23">
      <c r="W366" s="31"/>
    </row>
    <row r="367" spans="23:23">
      <c r="W367" s="31"/>
    </row>
    <row r="368" spans="23:23">
      <c r="W368" s="31"/>
    </row>
    <row r="369" spans="23:23">
      <c r="W369" s="31"/>
    </row>
    <row r="370" spans="23:23">
      <c r="W370" s="31"/>
    </row>
    <row r="371" spans="23:23">
      <c r="W371" s="31"/>
    </row>
    <row r="372" spans="23:23">
      <c r="W372" s="31"/>
    </row>
    <row r="373" spans="23:23">
      <c r="W373" s="31"/>
    </row>
    <row r="374" spans="23:23">
      <c r="W374" s="31"/>
    </row>
    <row r="375" spans="23:23">
      <c r="W375" s="31"/>
    </row>
    <row r="376" spans="23:23">
      <c r="W376" s="31"/>
    </row>
    <row r="377" spans="23:23">
      <c r="W377" s="31"/>
    </row>
    <row r="378" spans="23:23">
      <c r="W378" s="31"/>
    </row>
    <row r="379" spans="23:23">
      <c r="W379" s="31"/>
    </row>
    <row r="380" spans="23:23">
      <c r="W380" s="31"/>
    </row>
    <row r="381" spans="23:23">
      <c r="W381" s="31"/>
    </row>
    <row r="382" spans="23:23">
      <c r="W382" s="31"/>
    </row>
    <row r="383" spans="23:23">
      <c r="W383" s="31"/>
    </row>
    <row r="384" spans="23:23">
      <c r="W384" s="31"/>
    </row>
    <row r="385" spans="23:23">
      <c r="W385" s="31"/>
    </row>
    <row r="386" spans="23:23">
      <c r="W386" s="31"/>
    </row>
    <row r="387" spans="23:23">
      <c r="W387" s="31"/>
    </row>
    <row r="388" spans="23:23">
      <c r="W388" s="31"/>
    </row>
    <row r="389" spans="23:23">
      <c r="W389" s="31"/>
    </row>
    <row r="390" spans="23:23">
      <c r="W390" s="31"/>
    </row>
    <row r="391" spans="23:23">
      <c r="W391" s="31"/>
    </row>
    <row r="392" spans="23:23">
      <c r="W392" s="31"/>
    </row>
    <row r="393" spans="23:23">
      <c r="W393" s="31"/>
    </row>
    <row r="394" spans="23:23">
      <c r="W394" s="31"/>
    </row>
    <row r="395" spans="23:23">
      <c r="W395" s="31"/>
    </row>
    <row r="396" spans="23:23">
      <c r="W396" s="31"/>
    </row>
    <row r="397" spans="23:23">
      <c r="W397" s="31"/>
    </row>
    <row r="398" spans="23:23">
      <c r="W398" s="31"/>
    </row>
    <row r="399" spans="23:23">
      <c r="W399" s="31"/>
    </row>
    <row r="400" spans="23:23">
      <c r="W400" s="31"/>
    </row>
    <row r="401" spans="23:23">
      <c r="W401" s="31"/>
    </row>
    <row r="402" spans="23:23">
      <c r="W402" s="31"/>
    </row>
    <row r="403" spans="23:23">
      <c r="W403" s="31"/>
    </row>
    <row r="404" spans="23:23">
      <c r="W404" s="31"/>
    </row>
    <row r="405" spans="23:23">
      <c r="W405" s="31"/>
    </row>
    <row r="406" spans="23:23">
      <c r="W406" s="31"/>
    </row>
    <row r="407" spans="23:23">
      <c r="W407" s="31"/>
    </row>
    <row r="408" spans="23:23">
      <c r="W408" s="31"/>
    </row>
    <row r="409" spans="23:23">
      <c r="W409" s="31"/>
    </row>
    <row r="410" spans="23:23">
      <c r="W410" s="31"/>
    </row>
    <row r="411" spans="23:23">
      <c r="W411" s="31"/>
    </row>
    <row r="412" spans="23:23">
      <c r="W412" s="31"/>
    </row>
    <row r="413" spans="23:23">
      <c r="W413" s="31"/>
    </row>
    <row r="414" spans="23:23">
      <c r="W414" s="31"/>
    </row>
    <row r="415" spans="23:23">
      <c r="W415" s="31"/>
    </row>
    <row r="416" spans="23:23">
      <c r="W416" s="31"/>
    </row>
    <row r="417" spans="23:23">
      <c r="W417" s="31"/>
    </row>
    <row r="418" spans="23:23">
      <c r="W418" s="31"/>
    </row>
    <row r="419" spans="23:23">
      <c r="W419" s="31"/>
    </row>
    <row r="420" spans="23:23">
      <c r="W420" s="31"/>
    </row>
    <row r="421" spans="23:23">
      <c r="W421" s="31"/>
    </row>
    <row r="422" spans="23:23">
      <c r="W422" s="31"/>
    </row>
    <row r="423" spans="23:23">
      <c r="W423" s="31"/>
    </row>
    <row r="424" spans="23:23">
      <c r="W424" s="31"/>
    </row>
    <row r="425" spans="23:23">
      <c r="W425" s="31"/>
    </row>
    <row r="426" spans="23:23">
      <c r="W426" s="31"/>
    </row>
    <row r="427" spans="23:23">
      <c r="W427" s="31"/>
    </row>
    <row r="428" spans="23:23">
      <c r="W428" s="31"/>
    </row>
    <row r="429" spans="23:23">
      <c r="W429" s="31"/>
    </row>
    <row r="430" spans="23:23">
      <c r="W430" s="31"/>
    </row>
    <row r="431" spans="23:23">
      <c r="W431" s="31"/>
    </row>
    <row r="432" spans="23:23">
      <c r="W432" s="31"/>
    </row>
    <row r="433" spans="23:23">
      <c r="W433" s="31"/>
    </row>
    <row r="434" spans="23:23">
      <c r="W434" s="31"/>
    </row>
    <row r="435" spans="23:23">
      <c r="W435" s="31"/>
    </row>
    <row r="436" spans="23:23">
      <c r="W436" s="31"/>
    </row>
    <row r="437" spans="23:23">
      <c r="W437" s="31"/>
    </row>
    <row r="438" spans="23:23">
      <c r="W438" s="31"/>
    </row>
    <row r="439" spans="23:23">
      <c r="W439" s="31"/>
    </row>
    <row r="440" spans="23:23">
      <c r="W440" s="31"/>
    </row>
    <row r="441" spans="23:23">
      <c r="W441" s="31"/>
    </row>
    <row r="442" spans="23:23">
      <c r="W442" s="31"/>
    </row>
    <row r="443" spans="23:23">
      <c r="W443" s="31"/>
    </row>
    <row r="444" spans="23:23">
      <c r="W444" s="31"/>
    </row>
    <row r="445" spans="23:23">
      <c r="W445" s="31"/>
    </row>
    <row r="446" spans="23:23">
      <c r="W446" s="31"/>
    </row>
    <row r="447" spans="23:23">
      <c r="W447" s="31"/>
    </row>
    <row r="448" spans="23:23">
      <c r="W448" s="31"/>
    </row>
    <row r="449" spans="23:23">
      <c r="W449" s="31"/>
    </row>
    <row r="450" spans="23:23">
      <c r="W450" s="31"/>
    </row>
    <row r="451" spans="23:23">
      <c r="W451" s="31"/>
    </row>
    <row r="452" spans="23:23">
      <c r="W452" s="31"/>
    </row>
    <row r="453" spans="23:23">
      <c r="W453" s="31"/>
    </row>
    <row r="454" spans="23:23">
      <c r="W454" s="31"/>
    </row>
    <row r="455" spans="23:23">
      <c r="W455" s="31"/>
    </row>
    <row r="456" spans="23:23">
      <c r="W456" s="31"/>
    </row>
    <row r="457" spans="23:23">
      <c r="W457" s="31"/>
    </row>
    <row r="458" spans="23:23">
      <c r="W458" s="31"/>
    </row>
    <row r="459" spans="23:23">
      <c r="W459" s="31"/>
    </row>
    <row r="460" spans="23:23">
      <c r="W460" s="31"/>
    </row>
    <row r="461" spans="23:23">
      <c r="W461" s="31"/>
    </row>
    <row r="462" spans="23:23">
      <c r="W462" s="31"/>
    </row>
    <row r="463" spans="23:23">
      <c r="W463" s="31"/>
    </row>
    <row r="464" spans="23:23">
      <c r="W464" s="31"/>
    </row>
    <row r="465" spans="23:23">
      <c r="W465" s="31"/>
    </row>
    <row r="466" spans="23:23">
      <c r="W466" s="31"/>
    </row>
    <row r="467" spans="23:23">
      <c r="W467" s="31"/>
    </row>
    <row r="468" spans="23:23">
      <c r="W468" s="31"/>
    </row>
    <row r="469" spans="23:23">
      <c r="W469" s="31"/>
    </row>
    <row r="470" spans="23:23">
      <c r="W470" s="31"/>
    </row>
    <row r="471" spans="23:23">
      <c r="W471" s="31"/>
    </row>
    <row r="472" spans="23:23">
      <c r="W472" s="31"/>
    </row>
    <row r="473" spans="23:23">
      <c r="W473" s="31"/>
    </row>
    <row r="474" spans="23:23">
      <c r="W474" s="31"/>
    </row>
    <row r="475" spans="23:23">
      <c r="W475" s="31"/>
    </row>
    <row r="476" spans="23:23">
      <c r="W476" s="31"/>
    </row>
    <row r="477" spans="23:23">
      <c r="W477" s="31"/>
    </row>
    <row r="478" spans="23:23">
      <c r="W478" s="31"/>
    </row>
    <row r="479" spans="23:23">
      <c r="W479" s="31"/>
    </row>
    <row r="480" spans="23:23">
      <c r="W480" s="31"/>
    </row>
    <row r="481" spans="23:23">
      <c r="W481" s="31"/>
    </row>
    <row r="482" spans="23:23">
      <c r="W482" s="31"/>
    </row>
    <row r="483" spans="23:23">
      <c r="W483" s="31"/>
    </row>
    <row r="484" spans="23:23">
      <c r="W484" s="31"/>
    </row>
    <row r="485" spans="23:23">
      <c r="W485" s="31"/>
    </row>
    <row r="486" spans="23:23">
      <c r="W486" s="31"/>
    </row>
    <row r="487" spans="23:23">
      <c r="W487" s="31"/>
    </row>
    <row r="488" spans="23:23">
      <c r="W488" s="31"/>
    </row>
    <row r="489" spans="23:23">
      <c r="W489" s="31"/>
    </row>
    <row r="490" spans="23:23">
      <c r="W490" s="31"/>
    </row>
    <row r="491" spans="23:23">
      <c r="W491" s="31"/>
    </row>
    <row r="492" spans="23:23">
      <c r="W492" s="31"/>
    </row>
    <row r="493" spans="23:23">
      <c r="W493" s="31"/>
    </row>
    <row r="494" spans="23:23">
      <c r="W494" s="31"/>
    </row>
    <row r="495" spans="23:23">
      <c r="W495" s="31"/>
    </row>
    <row r="496" spans="23:23">
      <c r="W496" s="31"/>
    </row>
    <row r="497" spans="23:23">
      <c r="W497" s="31"/>
    </row>
    <row r="498" spans="23:23">
      <c r="W498" s="31"/>
    </row>
    <row r="499" spans="23:23">
      <c r="W499" s="31"/>
    </row>
    <row r="500" spans="23:23">
      <c r="W500" s="31"/>
    </row>
    <row r="501" spans="23:23">
      <c r="W501" s="31"/>
    </row>
    <row r="502" spans="23:23">
      <c r="W502" s="31"/>
    </row>
    <row r="503" spans="23:23">
      <c r="W503" s="31"/>
    </row>
    <row r="504" spans="23:23">
      <c r="W504" s="31"/>
    </row>
    <row r="505" spans="23:23">
      <c r="W505" s="31"/>
    </row>
    <row r="506" spans="23:23">
      <c r="W506" s="31"/>
    </row>
    <row r="507" spans="23:23">
      <c r="W507" s="31"/>
    </row>
    <row r="508" spans="23:23">
      <c r="W508" s="31"/>
    </row>
    <row r="509" spans="23:23">
      <c r="W509" s="31"/>
    </row>
    <row r="510" spans="23:23">
      <c r="W510" s="31"/>
    </row>
    <row r="511" spans="23:23">
      <c r="W511" s="31"/>
    </row>
    <row r="512" spans="23:23">
      <c r="W512" s="31"/>
    </row>
    <row r="513" spans="23:23">
      <c r="W513" s="31"/>
    </row>
    <row r="514" spans="23:23">
      <c r="W514" s="31"/>
    </row>
    <row r="515" spans="23:23">
      <c r="W515" s="31"/>
    </row>
    <row r="516" spans="23:23">
      <c r="W516" s="31"/>
    </row>
    <row r="517" spans="23:23">
      <c r="W517" s="31"/>
    </row>
    <row r="518" spans="23:23">
      <c r="W518" s="31"/>
    </row>
    <row r="519" spans="23:23">
      <c r="W519" s="31"/>
    </row>
    <row r="520" spans="23:23">
      <c r="W520" s="31"/>
    </row>
    <row r="521" spans="23:23">
      <c r="W521" s="31"/>
    </row>
    <row r="522" spans="23:23">
      <c r="W522" s="31"/>
    </row>
    <row r="523" spans="23:23">
      <c r="W523" s="31"/>
    </row>
    <row r="524" spans="23:23">
      <c r="W524" s="31"/>
    </row>
    <row r="525" spans="23:23">
      <c r="W525" s="31"/>
    </row>
    <row r="526" spans="23:23">
      <c r="W526" s="31"/>
    </row>
    <row r="527" spans="23:23">
      <c r="W527" s="31"/>
    </row>
    <row r="528" spans="23:23">
      <c r="W528" s="31"/>
    </row>
    <row r="529" spans="23:23">
      <c r="W529" s="31"/>
    </row>
    <row r="530" spans="23:23">
      <c r="W530" s="31"/>
    </row>
    <row r="531" spans="23:23">
      <c r="W531" s="31"/>
    </row>
    <row r="532" spans="23:23">
      <c r="W532" s="31"/>
    </row>
    <row r="533" spans="23:23">
      <c r="W533" s="31"/>
    </row>
    <row r="534" spans="23:23">
      <c r="W534" s="31"/>
    </row>
    <row r="535" spans="23:23">
      <c r="W535" s="31"/>
    </row>
    <row r="536" spans="23:23">
      <c r="W536" s="31"/>
    </row>
    <row r="537" spans="23:23">
      <c r="W537" s="31"/>
    </row>
    <row r="538" spans="23:23">
      <c r="W538" s="31"/>
    </row>
    <row r="539" spans="23:23">
      <c r="W539" s="31"/>
    </row>
    <row r="540" spans="23:23">
      <c r="W540" s="31"/>
    </row>
    <row r="541" spans="23:23">
      <c r="W541" s="31"/>
    </row>
    <row r="542" spans="23:23">
      <c r="W542" s="31"/>
    </row>
    <row r="543" spans="23:23">
      <c r="W543" s="31"/>
    </row>
    <row r="544" spans="23:23">
      <c r="W544" s="31"/>
    </row>
    <row r="545" spans="23:23">
      <c r="W545" s="31"/>
    </row>
    <row r="546" spans="23:23">
      <c r="W546" s="31"/>
    </row>
    <row r="547" spans="23:23">
      <c r="W547" s="31"/>
    </row>
    <row r="548" spans="23:23">
      <c r="W548" s="31"/>
    </row>
    <row r="549" spans="23:23">
      <c r="W549" s="31"/>
    </row>
    <row r="550" spans="23:23">
      <c r="W550" s="31"/>
    </row>
    <row r="551" spans="23:23">
      <c r="W551" s="31"/>
    </row>
    <row r="552" spans="23:23">
      <c r="W552" s="31"/>
    </row>
    <row r="553" spans="23:23">
      <c r="W553" s="31"/>
    </row>
    <row r="554" spans="23:23">
      <c r="W554" s="31"/>
    </row>
    <row r="555" spans="23:23">
      <c r="W555" s="31"/>
    </row>
    <row r="556" spans="23:23">
      <c r="W556" s="31"/>
    </row>
    <row r="557" spans="23:23">
      <c r="W557" s="31"/>
    </row>
    <row r="558" spans="23:23">
      <c r="W558" s="31"/>
    </row>
    <row r="559" spans="23:23">
      <c r="W559" s="31"/>
    </row>
    <row r="560" spans="23:23">
      <c r="W560" s="31"/>
    </row>
    <row r="561" spans="23:23">
      <c r="W561" s="31"/>
    </row>
    <row r="562" spans="23:23">
      <c r="W562" s="31"/>
    </row>
    <row r="563" spans="23:23">
      <c r="W563" s="31"/>
    </row>
    <row r="564" spans="23:23">
      <c r="W564" s="31"/>
    </row>
    <row r="565" spans="23:23">
      <c r="W565" s="31"/>
    </row>
    <row r="566" spans="23:23">
      <c r="W566" s="31"/>
    </row>
    <row r="567" spans="23:23">
      <c r="W567" s="31"/>
    </row>
    <row r="568" spans="23:23">
      <c r="W568" s="31"/>
    </row>
    <row r="569" spans="23:23">
      <c r="W569" s="31"/>
    </row>
    <row r="570" spans="23:23">
      <c r="W570" s="31"/>
    </row>
    <row r="571" spans="23:23">
      <c r="W571" s="31"/>
    </row>
    <row r="572" spans="23:23">
      <c r="W572" s="31"/>
    </row>
    <row r="573" spans="23:23">
      <c r="W573" s="31"/>
    </row>
    <row r="574" spans="23:23">
      <c r="W574" s="31"/>
    </row>
    <row r="575" spans="23:23">
      <c r="W575" s="31"/>
    </row>
    <row r="576" spans="23:23">
      <c r="W576" s="31"/>
    </row>
    <row r="577" spans="23:23">
      <c r="W577" s="31"/>
    </row>
    <row r="578" spans="23:23">
      <c r="W578" s="31"/>
    </row>
    <row r="579" spans="23:23">
      <c r="W579" s="31"/>
    </row>
    <row r="580" spans="23:23">
      <c r="W580" s="31"/>
    </row>
    <row r="581" spans="23:23">
      <c r="W581" s="31"/>
    </row>
    <row r="582" spans="23:23">
      <c r="W582" s="31"/>
    </row>
    <row r="583" spans="23:23">
      <c r="W583" s="31"/>
    </row>
    <row r="584" spans="23:23">
      <c r="W584" s="31"/>
    </row>
    <row r="585" spans="23:23">
      <c r="W585" s="31"/>
    </row>
    <row r="586" spans="23:23">
      <c r="W586" s="31"/>
    </row>
    <row r="587" spans="23:23">
      <c r="W587" s="31"/>
    </row>
    <row r="588" spans="23:23">
      <c r="W588" s="31"/>
    </row>
    <row r="589" spans="23:23">
      <c r="W589" s="31"/>
    </row>
    <row r="590" spans="23:23">
      <c r="W590" s="31"/>
    </row>
    <row r="591" spans="23:23">
      <c r="W591" s="31"/>
    </row>
    <row r="592" spans="23:23">
      <c r="W592" s="31"/>
    </row>
    <row r="593" spans="23:23">
      <c r="W593" s="31"/>
    </row>
    <row r="594" spans="23:23">
      <c r="W594" s="31"/>
    </row>
    <row r="595" spans="23:23">
      <c r="W595" s="31"/>
    </row>
    <row r="596" spans="23:23">
      <c r="W596" s="31"/>
    </row>
    <row r="597" spans="23:23">
      <c r="W597" s="31"/>
    </row>
    <row r="598" spans="23:23">
      <c r="W598" s="31"/>
    </row>
    <row r="599" spans="23:23">
      <c r="W599" s="31"/>
    </row>
    <row r="600" spans="23:23">
      <c r="W600" s="31"/>
    </row>
    <row r="601" spans="23:23">
      <c r="W601" s="31"/>
    </row>
    <row r="602" spans="23:23">
      <c r="W602" s="31"/>
    </row>
    <row r="603" spans="23:23">
      <c r="W603" s="31"/>
    </row>
    <row r="604" spans="23:23">
      <c r="W604" s="31"/>
    </row>
    <row r="605" spans="23:23">
      <c r="W605" s="31"/>
    </row>
    <row r="606" spans="23:23">
      <c r="W606" s="31"/>
    </row>
    <row r="607" spans="23:23">
      <c r="W607" s="31"/>
    </row>
    <row r="608" spans="23:23">
      <c r="W608" s="31"/>
    </row>
    <row r="609" spans="23:23">
      <c r="W609" s="31"/>
    </row>
    <row r="610" spans="23:23">
      <c r="W610" s="31"/>
    </row>
    <row r="611" spans="23:23">
      <c r="W611" s="31"/>
    </row>
    <row r="612" spans="23:23">
      <c r="W612" s="31"/>
    </row>
    <row r="613" spans="23:23">
      <c r="W613" s="31"/>
    </row>
    <row r="614" spans="23:23">
      <c r="W614" s="31"/>
    </row>
    <row r="615" spans="23:23">
      <c r="W615" s="31"/>
    </row>
    <row r="616" spans="23:23">
      <c r="W616" s="31"/>
    </row>
    <row r="617" spans="23:23">
      <c r="W617" s="31"/>
    </row>
    <row r="618" spans="23:23">
      <c r="W618" s="31"/>
    </row>
    <row r="619" spans="23:23">
      <c r="W619" s="31"/>
    </row>
    <row r="620" spans="23:23">
      <c r="W620" s="31"/>
    </row>
    <row r="621" spans="23:23">
      <c r="W621" s="31"/>
    </row>
    <row r="622" spans="23:23">
      <c r="W622" s="31"/>
    </row>
    <row r="623" spans="23:23">
      <c r="W623" s="31"/>
    </row>
    <row r="624" spans="23:23">
      <c r="W624" s="31"/>
    </row>
    <row r="625" spans="23:23">
      <c r="W625" s="31"/>
    </row>
    <row r="626" spans="23:23">
      <c r="W626" s="31"/>
    </row>
    <row r="627" spans="23:23">
      <c r="W627" s="31"/>
    </row>
    <row r="628" spans="23:23">
      <c r="W628" s="31"/>
    </row>
    <row r="629" spans="23:23">
      <c r="W629" s="31"/>
    </row>
    <row r="630" spans="23:23">
      <c r="W630" s="31"/>
    </row>
    <row r="631" spans="23:23">
      <c r="W631" s="31"/>
    </row>
    <row r="632" spans="23:23">
      <c r="W632" s="31"/>
    </row>
    <row r="633" spans="23:23">
      <c r="W633" s="31"/>
    </row>
    <row r="634" spans="23:23">
      <c r="W634" s="31"/>
    </row>
    <row r="635" spans="23:23">
      <c r="W635" s="31"/>
    </row>
    <row r="636" spans="23:23">
      <c r="W636" s="31"/>
    </row>
    <row r="637" spans="23:23">
      <c r="W637" s="31"/>
    </row>
    <row r="638" spans="23:23">
      <c r="W638" s="31"/>
    </row>
    <row r="639" spans="23:23">
      <c r="W639" s="31"/>
    </row>
    <row r="640" spans="23:23">
      <c r="W640" s="31"/>
    </row>
    <row r="641" spans="23:23">
      <c r="W641" s="31"/>
    </row>
    <row r="642" spans="23:23">
      <c r="W642" s="31"/>
    </row>
    <row r="643" spans="23:23">
      <c r="W643" s="31"/>
    </row>
    <row r="644" spans="23:23">
      <c r="W644" s="31"/>
    </row>
    <row r="645" spans="23:23">
      <c r="W645" s="31"/>
    </row>
    <row r="646" spans="23:23">
      <c r="W646" s="31"/>
    </row>
    <row r="647" spans="23:23">
      <c r="W647" s="31"/>
    </row>
    <row r="648" spans="23:23">
      <c r="W648" s="31"/>
    </row>
    <row r="649" spans="23:23">
      <c r="W649" s="31"/>
    </row>
    <row r="650" spans="23:23">
      <c r="W650" s="31"/>
    </row>
    <row r="651" spans="23:23">
      <c r="W651" s="31"/>
    </row>
    <row r="652" spans="23:23">
      <c r="W652" s="31"/>
    </row>
    <row r="653" spans="23:23">
      <c r="W653" s="31"/>
    </row>
    <row r="654" spans="23:23">
      <c r="W654" s="31"/>
    </row>
    <row r="655" spans="23:23">
      <c r="W655" s="31"/>
    </row>
    <row r="656" spans="23:23">
      <c r="W656" s="31"/>
    </row>
    <row r="657" spans="23:23">
      <c r="W657" s="31"/>
    </row>
    <row r="658" spans="23:23">
      <c r="W658" s="31"/>
    </row>
    <row r="659" spans="23:23">
      <c r="W659" s="31"/>
    </row>
    <row r="660" spans="23:23">
      <c r="W660" s="31"/>
    </row>
    <row r="661" spans="23:23">
      <c r="W661" s="31"/>
    </row>
    <row r="662" spans="23:23">
      <c r="W662" s="31"/>
    </row>
    <row r="663" spans="23:23">
      <c r="W663" s="31"/>
    </row>
    <row r="664" spans="23:23">
      <c r="W664" s="31"/>
    </row>
    <row r="665" spans="23:23">
      <c r="W665" s="31"/>
    </row>
    <row r="666" spans="23:23">
      <c r="W666" s="31"/>
    </row>
    <row r="667" spans="23:23">
      <c r="W667" s="31"/>
    </row>
    <row r="668" spans="23:23">
      <c r="W668" s="31"/>
    </row>
    <row r="669" spans="23:23">
      <c r="W669" s="31"/>
    </row>
    <row r="670" spans="23:23">
      <c r="W670" s="31"/>
    </row>
    <row r="671" spans="23:23">
      <c r="W671" s="31"/>
    </row>
    <row r="672" spans="23:23">
      <c r="W672" s="31"/>
    </row>
    <row r="673" spans="23:23">
      <c r="W673" s="31"/>
    </row>
    <row r="674" spans="23:23">
      <c r="W674" s="31"/>
    </row>
    <row r="675" spans="23:23">
      <c r="W675" s="31"/>
    </row>
    <row r="676" spans="23:23">
      <c r="W676" s="31"/>
    </row>
    <row r="677" spans="23:23">
      <c r="W677" s="31"/>
    </row>
    <row r="678" spans="23:23">
      <c r="W678" s="31"/>
    </row>
    <row r="679" spans="23:23">
      <c r="W679" s="31"/>
    </row>
    <row r="680" spans="23:23">
      <c r="W680" s="31"/>
    </row>
    <row r="681" spans="23:23">
      <c r="W681" s="31"/>
    </row>
    <row r="682" spans="23:23">
      <c r="W682" s="31"/>
    </row>
    <row r="683" spans="23:23">
      <c r="W683" s="31"/>
    </row>
    <row r="684" spans="23:23">
      <c r="W684" s="31"/>
    </row>
    <row r="685" spans="23:23">
      <c r="W685" s="31"/>
    </row>
    <row r="686" spans="23:23">
      <c r="W686" s="31"/>
    </row>
    <row r="687" spans="23:23">
      <c r="W687" s="31"/>
    </row>
    <row r="688" spans="23:23">
      <c r="W688" s="31"/>
    </row>
    <row r="689" spans="23:23">
      <c r="W689" s="31"/>
    </row>
    <row r="690" spans="23:23">
      <c r="W690" s="31"/>
    </row>
    <row r="691" spans="23:23">
      <c r="W691" s="31"/>
    </row>
    <row r="692" spans="23:23">
      <c r="W692" s="31"/>
    </row>
    <row r="693" spans="23:23">
      <c r="W693" s="31"/>
    </row>
    <row r="694" spans="23:23">
      <c r="W694" s="31"/>
    </row>
    <row r="695" spans="23:23">
      <c r="W695" s="31"/>
    </row>
    <row r="696" spans="23:23">
      <c r="W696" s="31"/>
    </row>
    <row r="697" spans="23:23">
      <c r="W697" s="31"/>
    </row>
    <row r="698" spans="23:23">
      <c r="W698" s="31"/>
    </row>
    <row r="699" spans="23:23">
      <c r="W699" s="31"/>
    </row>
    <row r="700" spans="23:23">
      <c r="W700" s="31"/>
    </row>
    <row r="701" spans="23:23">
      <c r="W701" s="31"/>
    </row>
    <row r="702" spans="23:23">
      <c r="W702" s="31"/>
    </row>
    <row r="703" spans="23:23">
      <c r="W703" s="31"/>
    </row>
    <row r="704" spans="23:23">
      <c r="W704" s="31"/>
    </row>
    <row r="705" spans="23:23">
      <c r="W705" s="31"/>
    </row>
    <row r="706" spans="23:23">
      <c r="W706" s="31"/>
    </row>
    <row r="707" spans="23:23">
      <c r="W707" s="31"/>
    </row>
    <row r="708" spans="23:23">
      <c r="W708" s="31"/>
    </row>
    <row r="709" spans="23:23">
      <c r="W709" s="31"/>
    </row>
    <row r="710" spans="23:23">
      <c r="W710" s="31"/>
    </row>
    <row r="711" spans="23:23">
      <c r="W711" s="31"/>
    </row>
    <row r="712" spans="23:23">
      <c r="W712" s="31"/>
    </row>
    <row r="713" spans="23:23">
      <c r="W713" s="31"/>
    </row>
    <row r="714" spans="23:23">
      <c r="W714" s="31"/>
    </row>
    <row r="715" spans="23:23">
      <c r="W715" s="31"/>
    </row>
    <row r="716" spans="23:23">
      <c r="W716" s="31"/>
    </row>
    <row r="717" spans="23:23">
      <c r="W717" s="31"/>
    </row>
    <row r="718" spans="23:23">
      <c r="W718" s="31"/>
    </row>
    <row r="719" spans="23:23">
      <c r="W719" s="31"/>
    </row>
    <row r="720" spans="23:23">
      <c r="W720" s="31"/>
    </row>
    <row r="721" spans="22:24">
      <c r="W721" s="31"/>
    </row>
    <row r="722" spans="22:24">
      <c r="W722" s="31"/>
    </row>
    <row r="723" spans="22:24">
      <c r="W723" s="31"/>
    </row>
    <row r="724" spans="22:24">
      <c r="W724" s="31"/>
    </row>
    <row r="725" spans="22:24">
      <c r="W725" s="31"/>
    </row>
    <row r="726" spans="22:24">
      <c r="W726" s="31"/>
    </row>
    <row r="727" spans="22:24">
      <c r="W727" s="31"/>
    </row>
    <row r="728" spans="22:24">
      <c r="V728" s="63"/>
      <c r="W728" s="63"/>
      <c r="X728" s="63"/>
    </row>
    <row r="729" spans="22:24">
      <c r="V729" s="63"/>
      <c r="W729" s="63"/>
      <c r="X729" s="63"/>
    </row>
    <row r="730" spans="22:24">
      <c r="V730" s="63"/>
      <c r="W730" s="63"/>
      <c r="X730" s="63"/>
    </row>
    <row r="731" spans="22:24">
      <c r="V731" s="63"/>
      <c r="W731" s="63"/>
      <c r="X731" s="63"/>
    </row>
    <row r="732" spans="22:24">
      <c r="V732" s="63"/>
      <c r="W732" s="63"/>
      <c r="X732" s="63"/>
    </row>
    <row r="733" spans="22:24">
      <c r="V733" s="63"/>
      <c r="W733" s="63"/>
      <c r="X733" s="63"/>
    </row>
    <row r="734" spans="22:24">
      <c r="V734" s="63"/>
      <c r="W734" s="63"/>
      <c r="X734" s="63"/>
    </row>
    <row r="735" spans="22:24">
      <c r="V735" s="63"/>
      <c r="W735" s="63"/>
      <c r="X735" s="63"/>
    </row>
    <row r="736" spans="22:24">
      <c r="V736" s="63"/>
      <c r="W736" s="63"/>
      <c r="X736" s="63"/>
    </row>
    <row r="737" spans="22:24">
      <c r="V737" s="63"/>
      <c r="W737" s="63"/>
      <c r="X737" s="63"/>
    </row>
    <row r="738" spans="22:24">
      <c r="V738" s="63"/>
      <c r="W738" s="63"/>
      <c r="X738" s="63"/>
    </row>
    <row r="739" spans="22:24">
      <c r="V739" s="63"/>
      <c r="W739" s="63"/>
      <c r="X739" s="63"/>
    </row>
    <row r="740" spans="22:24">
      <c r="V740" s="63"/>
      <c r="W740" s="63"/>
      <c r="X740" s="63"/>
    </row>
    <row r="741" spans="22:24">
      <c r="V741" s="63"/>
      <c r="W741" s="63"/>
      <c r="X741" s="63"/>
    </row>
    <row r="742" spans="22:24">
      <c r="V742" s="63"/>
      <c r="W742" s="63"/>
      <c r="X742" s="63"/>
    </row>
    <row r="743" spans="22:24">
      <c r="V743" s="63"/>
      <c r="W743" s="63"/>
      <c r="X743" s="63"/>
    </row>
    <row r="744" spans="22:24">
      <c r="V744" s="63"/>
      <c r="W744" s="63"/>
      <c r="X744" s="63"/>
    </row>
    <row r="745" spans="22:24">
      <c r="V745" s="63"/>
      <c r="W745" s="63"/>
      <c r="X745" s="63"/>
    </row>
    <row r="746" spans="22:24">
      <c r="V746" s="63"/>
      <c r="W746" s="63"/>
      <c r="X746" s="63"/>
    </row>
    <row r="747" spans="22:24">
      <c r="V747" s="63"/>
      <c r="W747" s="63"/>
      <c r="X747" s="63"/>
    </row>
    <row r="748" spans="22:24">
      <c r="V748" s="63"/>
      <c r="W748" s="63"/>
      <c r="X748" s="63"/>
    </row>
    <row r="749" spans="22:24">
      <c r="V749" s="63"/>
      <c r="W749" s="63"/>
      <c r="X749" s="63"/>
    </row>
    <row r="750" spans="22:24">
      <c r="V750" s="63"/>
      <c r="W750" s="63"/>
      <c r="X750" s="63"/>
    </row>
    <row r="751" spans="22:24">
      <c r="V751" s="63"/>
      <c r="W751" s="63"/>
      <c r="X751" s="63"/>
    </row>
    <row r="752" spans="22:24">
      <c r="V752" s="63"/>
      <c r="W752" s="63"/>
      <c r="X752" s="63"/>
    </row>
    <row r="753" spans="22:24">
      <c r="V753" s="63"/>
      <c r="W753" s="63"/>
      <c r="X753" s="63"/>
    </row>
    <row r="754" spans="22:24">
      <c r="V754" s="63"/>
      <c r="W754" s="63"/>
      <c r="X754" s="63"/>
    </row>
    <row r="755" spans="22:24">
      <c r="V755" s="63"/>
      <c r="W755" s="63"/>
      <c r="X755" s="63"/>
    </row>
    <row r="756" spans="22:24">
      <c r="V756" s="63"/>
      <c r="W756" s="63"/>
      <c r="X756" s="63"/>
    </row>
    <row r="757" spans="22:24">
      <c r="V757" s="63"/>
      <c r="W757" s="63"/>
      <c r="X757" s="63"/>
    </row>
    <row r="758" spans="22:24">
      <c r="V758" s="63"/>
      <c r="W758" s="63"/>
      <c r="X758" s="63"/>
    </row>
    <row r="759" spans="22:24">
      <c r="V759" s="63"/>
      <c r="W759" s="63"/>
      <c r="X759" s="63"/>
    </row>
    <row r="760" spans="22:24">
      <c r="V760" s="63"/>
      <c r="W760" s="63"/>
      <c r="X760" s="63"/>
    </row>
    <row r="761" spans="22:24">
      <c r="V761" s="63"/>
      <c r="W761" s="63"/>
      <c r="X761" s="63"/>
    </row>
    <row r="762" spans="22:24">
      <c r="V762" s="63"/>
      <c r="W762" s="63"/>
      <c r="X762" s="63"/>
    </row>
    <row r="763" spans="22:24">
      <c r="V763" s="63"/>
      <c r="W763" s="63"/>
      <c r="X763" s="63"/>
    </row>
    <row r="764" spans="22:24">
      <c r="V764" s="63"/>
      <c r="W764" s="63"/>
      <c r="X764" s="63"/>
    </row>
    <row r="765" spans="22:24">
      <c r="V765" s="63"/>
      <c r="W765" s="63"/>
      <c r="X765" s="63"/>
    </row>
    <row r="766" spans="22:24">
      <c r="V766" s="63"/>
      <c r="W766" s="63"/>
      <c r="X766" s="63"/>
    </row>
    <row r="767" spans="22:24">
      <c r="V767" s="63"/>
      <c r="W767" s="63"/>
      <c r="X767" s="63"/>
    </row>
    <row r="768" spans="22:24">
      <c r="V768" s="63"/>
      <c r="W768" s="63"/>
      <c r="X768" s="63"/>
    </row>
    <row r="769" spans="22:24">
      <c r="V769" s="63"/>
      <c r="W769" s="63"/>
      <c r="X769" s="63"/>
    </row>
    <row r="770" spans="22:24">
      <c r="V770" s="63"/>
      <c r="W770" s="63"/>
      <c r="X770" s="63"/>
    </row>
    <row r="771" spans="22:24">
      <c r="V771" s="63"/>
      <c r="W771" s="63"/>
      <c r="X771" s="63"/>
    </row>
    <row r="772" spans="22:24">
      <c r="V772" s="63"/>
      <c r="W772" s="63"/>
      <c r="X772" s="63"/>
    </row>
    <row r="773" spans="22:24">
      <c r="V773" s="63"/>
      <c r="W773" s="63"/>
      <c r="X773" s="63"/>
    </row>
    <row r="774" spans="22:24">
      <c r="V774" s="63"/>
      <c r="W774" s="63"/>
      <c r="X774" s="63"/>
    </row>
    <row r="775" spans="22:24">
      <c r="V775" s="63"/>
      <c r="W775" s="63"/>
      <c r="X775" s="63"/>
    </row>
    <row r="776" spans="22:24">
      <c r="V776" s="63"/>
      <c r="W776" s="63"/>
      <c r="X776" s="63"/>
    </row>
    <row r="777" spans="22:24">
      <c r="V777" s="63"/>
      <c r="W777" s="63"/>
      <c r="X777" s="63"/>
    </row>
    <row r="778" spans="22:24">
      <c r="V778" s="63"/>
      <c r="W778" s="63"/>
      <c r="X778" s="63"/>
    </row>
    <row r="779" spans="22:24">
      <c r="V779" s="63"/>
      <c r="W779" s="63"/>
      <c r="X779" s="63"/>
    </row>
    <row r="780" spans="22:24">
      <c r="V780" s="63"/>
      <c r="W780" s="63"/>
      <c r="X780" s="63"/>
    </row>
    <row r="781" spans="22:24">
      <c r="V781" s="63"/>
      <c r="W781" s="63"/>
      <c r="X781" s="63"/>
    </row>
    <row r="782" spans="22:24">
      <c r="V782" s="63"/>
      <c r="W782" s="63"/>
      <c r="X782" s="63"/>
    </row>
    <row r="783" spans="22:24">
      <c r="V783" s="63"/>
      <c r="W783" s="63"/>
      <c r="X783" s="63"/>
    </row>
    <row r="784" spans="22:24">
      <c r="V784" s="63"/>
      <c r="W784" s="63"/>
      <c r="X784" s="63"/>
    </row>
    <row r="785" spans="22:24">
      <c r="V785" s="63"/>
      <c r="W785" s="63"/>
      <c r="X785" s="63"/>
    </row>
    <row r="786" spans="22:24">
      <c r="V786" s="63"/>
      <c r="W786" s="63"/>
      <c r="X786" s="63"/>
    </row>
    <row r="787" spans="22:24">
      <c r="V787" s="63"/>
      <c r="W787" s="63"/>
      <c r="X787" s="63"/>
    </row>
    <row r="788" spans="22:24">
      <c r="V788" s="63"/>
      <c r="W788" s="63"/>
      <c r="X788" s="63"/>
    </row>
    <row r="789" spans="22:24">
      <c r="V789" s="63"/>
      <c r="W789" s="63"/>
      <c r="X789" s="63"/>
    </row>
    <row r="790" spans="22:24">
      <c r="V790" s="63"/>
      <c r="W790" s="63"/>
      <c r="X790" s="63"/>
    </row>
    <row r="791" spans="22:24">
      <c r="V791" s="63"/>
      <c r="W791" s="63"/>
      <c r="X791" s="63"/>
    </row>
    <row r="792" spans="22:24">
      <c r="V792" s="63"/>
      <c r="W792" s="63"/>
      <c r="X792" s="63"/>
    </row>
    <row r="793" spans="22:24">
      <c r="V793" s="63"/>
      <c r="W793" s="63"/>
      <c r="X793" s="63"/>
    </row>
    <row r="794" spans="22:24">
      <c r="V794" s="63"/>
      <c r="W794" s="63"/>
      <c r="X794" s="63"/>
    </row>
    <row r="795" spans="22:24">
      <c r="V795" s="63"/>
      <c r="W795" s="63"/>
      <c r="X795" s="63"/>
    </row>
    <row r="796" spans="22:24">
      <c r="V796" s="63"/>
      <c r="W796" s="63"/>
      <c r="X796" s="63"/>
    </row>
    <row r="797" spans="22:24">
      <c r="V797" s="63"/>
      <c r="W797" s="63"/>
      <c r="X797" s="63"/>
    </row>
    <row r="798" spans="22:24">
      <c r="V798" s="63"/>
      <c r="W798" s="63"/>
      <c r="X798" s="63"/>
    </row>
    <row r="799" spans="22:24">
      <c r="V799" s="63"/>
      <c r="W799" s="63"/>
      <c r="X799" s="63"/>
    </row>
    <row r="800" spans="22:24">
      <c r="V800" s="63"/>
      <c r="W800" s="63"/>
      <c r="X800" s="63"/>
    </row>
    <row r="801" spans="22:24">
      <c r="V801" s="63"/>
      <c r="W801" s="63"/>
      <c r="X801" s="63"/>
    </row>
    <row r="802" spans="22:24">
      <c r="V802" s="63"/>
      <c r="W802" s="63"/>
      <c r="X802" s="63"/>
    </row>
    <row r="803" spans="22:24">
      <c r="V803" s="63"/>
      <c r="W803" s="63"/>
      <c r="X803" s="63"/>
    </row>
    <row r="804" spans="22:24">
      <c r="V804" s="63"/>
      <c r="W804" s="63"/>
      <c r="X804" s="63"/>
    </row>
    <row r="805" spans="22:24">
      <c r="V805" s="63"/>
      <c r="W805" s="63"/>
      <c r="X805" s="63"/>
    </row>
    <row r="806" spans="22:24">
      <c r="V806" s="63"/>
      <c r="W806" s="63"/>
      <c r="X806" s="63"/>
    </row>
    <row r="807" spans="22:24">
      <c r="V807" s="63"/>
      <c r="W807" s="63"/>
      <c r="X807" s="63"/>
    </row>
    <row r="808" spans="22:24">
      <c r="V808" s="63"/>
      <c r="W808" s="63"/>
      <c r="X808" s="63"/>
    </row>
    <row r="809" spans="22:24">
      <c r="V809" s="63"/>
      <c r="W809" s="63"/>
      <c r="X809" s="63"/>
    </row>
    <row r="810" spans="22:24">
      <c r="V810" s="63"/>
      <c r="W810" s="63"/>
      <c r="X810" s="63"/>
    </row>
    <row r="811" spans="22:24">
      <c r="V811" s="63"/>
      <c r="W811" s="63"/>
      <c r="X811" s="63"/>
    </row>
    <row r="812" spans="22:24">
      <c r="V812" s="63"/>
      <c r="W812" s="63"/>
      <c r="X812" s="63"/>
    </row>
    <row r="813" spans="22:24">
      <c r="V813" s="63"/>
      <c r="W813" s="63"/>
      <c r="X813" s="63"/>
    </row>
    <row r="814" spans="22:24">
      <c r="V814" s="63"/>
      <c r="W814" s="63"/>
      <c r="X814" s="63"/>
    </row>
    <row r="815" spans="22:24">
      <c r="V815" s="63"/>
      <c r="W815" s="63"/>
      <c r="X815" s="63"/>
    </row>
    <row r="816" spans="22:24">
      <c r="V816" s="63"/>
      <c r="W816" s="63"/>
      <c r="X816" s="63"/>
    </row>
    <row r="817" spans="22:24">
      <c r="V817" s="63"/>
      <c r="W817" s="63"/>
      <c r="X817" s="63"/>
    </row>
    <row r="818" spans="22:24">
      <c r="V818" s="63"/>
      <c r="W818" s="63"/>
      <c r="X818" s="63"/>
    </row>
    <row r="819" spans="22:24">
      <c r="V819" s="63"/>
      <c r="W819" s="63"/>
      <c r="X819" s="63"/>
    </row>
    <row r="820" spans="22:24">
      <c r="V820" s="63"/>
      <c r="W820" s="63"/>
      <c r="X820" s="63"/>
    </row>
    <row r="821" spans="22:24">
      <c r="V821" s="63"/>
      <c r="W821" s="63"/>
      <c r="X821" s="63"/>
    </row>
    <row r="822" spans="22:24">
      <c r="V822" s="63"/>
      <c r="W822" s="63"/>
      <c r="X822" s="63"/>
    </row>
    <row r="823" spans="22:24">
      <c r="V823" s="63"/>
      <c r="W823" s="63"/>
      <c r="X823" s="63"/>
    </row>
    <row r="824" spans="22:24">
      <c r="V824" s="63"/>
      <c r="W824" s="63"/>
      <c r="X824" s="63"/>
    </row>
    <row r="825" spans="22:24">
      <c r="V825" s="63"/>
      <c r="W825" s="63"/>
      <c r="X825" s="63"/>
    </row>
    <row r="826" spans="22:24">
      <c r="V826" s="63"/>
      <c r="W826" s="63"/>
      <c r="X826" s="63"/>
    </row>
    <row r="827" spans="22:24">
      <c r="V827" s="63"/>
      <c r="W827" s="63"/>
      <c r="X827" s="63"/>
    </row>
    <row r="828" spans="22:24">
      <c r="V828" s="63"/>
      <c r="W828" s="63"/>
      <c r="X828" s="63"/>
    </row>
    <row r="829" spans="22:24">
      <c r="V829" s="63"/>
      <c r="W829" s="63"/>
      <c r="X829" s="63"/>
    </row>
    <row r="830" spans="22:24">
      <c r="V830" s="63"/>
      <c r="W830" s="63"/>
      <c r="X830" s="63"/>
    </row>
    <row r="831" spans="22:24">
      <c r="V831" s="63"/>
      <c r="W831" s="63"/>
      <c r="X831" s="63"/>
    </row>
    <row r="832" spans="22:24">
      <c r="V832" s="63"/>
      <c r="W832" s="63"/>
      <c r="X832" s="63"/>
    </row>
    <row r="833" spans="22:24">
      <c r="V833" s="63"/>
      <c r="W833" s="63"/>
      <c r="X833" s="63"/>
    </row>
    <row r="834" spans="22:24">
      <c r="V834" s="63"/>
      <c r="W834" s="63"/>
      <c r="X834" s="63"/>
    </row>
    <row r="835" spans="22:24">
      <c r="V835" s="63"/>
      <c r="W835" s="63"/>
      <c r="X835" s="63"/>
    </row>
    <row r="836" spans="22:24">
      <c r="V836" s="63"/>
      <c r="W836" s="63"/>
      <c r="X836" s="63"/>
    </row>
    <row r="837" spans="22:24">
      <c r="V837" s="63"/>
      <c r="W837" s="63"/>
      <c r="X837" s="63"/>
    </row>
    <row r="838" spans="22:24">
      <c r="V838" s="63"/>
      <c r="W838" s="63"/>
      <c r="X838" s="63"/>
    </row>
    <row r="839" spans="22:24">
      <c r="V839" s="63"/>
      <c r="W839" s="63"/>
      <c r="X839" s="63"/>
    </row>
    <row r="840" spans="22:24">
      <c r="V840" s="63"/>
      <c r="W840" s="63"/>
      <c r="X840" s="63"/>
    </row>
    <row r="841" spans="22:24">
      <c r="V841" s="63"/>
      <c r="W841" s="63"/>
      <c r="X841" s="63"/>
    </row>
    <row r="842" spans="22:24">
      <c r="V842" s="63"/>
      <c r="W842" s="63"/>
      <c r="X842" s="63"/>
    </row>
    <row r="843" spans="22:24">
      <c r="V843" s="63"/>
      <c r="W843" s="63"/>
      <c r="X843" s="63"/>
    </row>
    <row r="844" spans="22:24">
      <c r="V844" s="63"/>
      <c r="W844" s="63"/>
      <c r="X844" s="63"/>
    </row>
    <row r="845" spans="22:24">
      <c r="V845" s="63"/>
      <c r="W845" s="63"/>
      <c r="X845" s="63"/>
    </row>
    <row r="846" spans="22:24">
      <c r="V846" s="63"/>
      <c r="W846" s="63"/>
      <c r="X846" s="63"/>
    </row>
    <row r="847" spans="22:24">
      <c r="V847" s="63"/>
      <c r="W847" s="63"/>
      <c r="X847" s="63"/>
    </row>
    <row r="848" spans="22:24">
      <c r="V848" s="63"/>
      <c r="W848" s="63"/>
      <c r="X848" s="63"/>
    </row>
    <row r="849" spans="22:24">
      <c r="V849" s="63"/>
      <c r="W849" s="63"/>
      <c r="X849" s="63"/>
    </row>
    <row r="850" spans="22:24">
      <c r="V850" s="63"/>
      <c r="W850" s="63"/>
      <c r="X850" s="63"/>
    </row>
    <row r="851" spans="22:24">
      <c r="V851" s="63"/>
      <c r="W851" s="63"/>
      <c r="X851" s="63"/>
    </row>
    <row r="852" spans="22:24">
      <c r="V852" s="63"/>
      <c r="W852" s="63"/>
      <c r="X852" s="63"/>
    </row>
    <row r="853" spans="22:24">
      <c r="V853" s="63"/>
      <c r="W853" s="63"/>
      <c r="X853" s="63"/>
    </row>
    <row r="854" spans="22:24">
      <c r="V854" s="63"/>
      <c r="W854" s="63"/>
      <c r="X854" s="63"/>
    </row>
    <row r="855" spans="22:24">
      <c r="V855" s="63"/>
      <c r="W855" s="63"/>
      <c r="X855" s="63"/>
    </row>
    <row r="856" spans="22:24">
      <c r="V856" s="63"/>
      <c r="W856" s="63"/>
      <c r="X856" s="63"/>
    </row>
    <row r="857" spans="22:24">
      <c r="V857" s="63"/>
      <c r="W857" s="63"/>
      <c r="X857" s="63"/>
    </row>
    <row r="858" spans="22:24">
      <c r="V858" s="63"/>
      <c r="W858" s="63"/>
      <c r="X858" s="63"/>
    </row>
    <row r="859" spans="22:24">
      <c r="V859" s="63"/>
      <c r="W859" s="63"/>
      <c r="X859" s="63"/>
    </row>
    <row r="860" spans="22:24">
      <c r="V860" s="63"/>
      <c r="W860" s="63"/>
      <c r="X860" s="63"/>
    </row>
    <row r="861" spans="22:24">
      <c r="V861" s="63"/>
      <c r="W861" s="63"/>
      <c r="X861" s="63"/>
    </row>
    <row r="862" spans="22:24">
      <c r="V862" s="63"/>
      <c r="W862" s="63"/>
      <c r="X862" s="63"/>
    </row>
    <row r="863" spans="22:24">
      <c r="V863" s="63"/>
      <c r="W863" s="63"/>
      <c r="X863" s="63"/>
    </row>
    <row r="864" spans="22:24">
      <c r="V864" s="63"/>
      <c r="W864" s="63"/>
      <c r="X864" s="63"/>
    </row>
    <row r="865" spans="22:24">
      <c r="V865" s="63"/>
      <c r="W865" s="63"/>
      <c r="X865" s="63"/>
    </row>
    <row r="866" spans="22:24">
      <c r="V866" s="63"/>
      <c r="W866" s="63"/>
      <c r="X866" s="63"/>
    </row>
    <row r="867" spans="22:24">
      <c r="V867" s="63"/>
      <c r="W867" s="63"/>
      <c r="X867" s="63"/>
    </row>
    <row r="868" spans="22:24">
      <c r="V868" s="63"/>
      <c r="W868" s="63"/>
      <c r="X868" s="63"/>
    </row>
    <row r="869" spans="22:24">
      <c r="V869" s="63"/>
      <c r="W869" s="63"/>
      <c r="X869" s="63"/>
    </row>
    <row r="870" spans="22:24">
      <c r="V870" s="63"/>
      <c r="W870" s="63"/>
      <c r="X870" s="63"/>
    </row>
    <row r="871" spans="22:24">
      <c r="V871" s="63"/>
      <c r="W871" s="63"/>
      <c r="X871" s="63"/>
    </row>
    <row r="872" spans="22:24">
      <c r="V872" s="63"/>
      <c r="W872" s="63"/>
      <c r="X872" s="63"/>
    </row>
    <row r="873" spans="22:24">
      <c r="V873" s="63"/>
      <c r="W873" s="63"/>
      <c r="X873" s="63"/>
    </row>
    <row r="874" spans="22:24">
      <c r="V874" s="63"/>
      <c r="W874" s="63"/>
      <c r="X874" s="63"/>
    </row>
    <row r="875" spans="22:24">
      <c r="V875" s="63"/>
      <c r="W875" s="63"/>
      <c r="X875" s="63"/>
    </row>
    <row r="876" spans="22:24">
      <c r="V876" s="63"/>
      <c r="W876" s="63"/>
      <c r="X876" s="63"/>
    </row>
    <row r="877" spans="22:24">
      <c r="V877" s="63"/>
      <c r="W877" s="63"/>
      <c r="X877" s="63"/>
    </row>
    <row r="878" spans="22:24">
      <c r="V878" s="63"/>
      <c r="W878" s="63"/>
      <c r="X878" s="63"/>
    </row>
    <row r="879" spans="22:24">
      <c r="V879" s="63"/>
      <c r="W879" s="63"/>
      <c r="X879" s="63"/>
    </row>
    <row r="880" spans="22:24">
      <c r="V880" s="63"/>
      <c r="W880" s="63"/>
      <c r="X880" s="63"/>
    </row>
    <row r="881" spans="22:24">
      <c r="V881" s="63"/>
      <c r="W881" s="63"/>
      <c r="X881" s="63"/>
    </row>
    <row r="882" spans="22:24">
      <c r="V882" s="63"/>
      <c r="W882" s="63"/>
      <c r="X882" s="63"/>
    </row>
    <row r="883" spans="22:24">
      <c r="V883" s="63"/>
      <c r="W883" s="63"/>
      <c r="X883" s="63"/>
    </row>
    <row r="884" spans="22:24">
      <c r="V884" s="63"/>
      <c r="W884" s="63"/>
      <c r="X884" s="63"/>
    </row>
    <row r="885" spans="22:24">
      <c r="V885" s="63"/>
      <c r="W885" s="63"/>
      <c r="X885" s="63"/>
    </row>
    <row r="886" spans="22:24">
      <c r="V886" s="63"/>
      <c r="W886" s="63"/>
      <c r="X886" s="63"/>
    </row>
    <row r="887" spans="22:24">
      <c r="V887" s="63"/>
      <c r="W887" s="63"/>
      <c r="X887" s="63"/>
    </row>
    <row r="888" spans="22:24">
      <c r="V888" s="63"/>
      <c r="W888" s="63"/>
      <c r="X888" s="63"/>
    </row>
    <row r="889" spans="22:24">
      <c r="V889" s="63"/>
      <c r="W889" s="63"/>
      <c r="X889" s="63"/>
    </row>
    <row r="890" spans="22:24">
      <c r="V890" s="63"/>
      <c r="W890" s="63"/>
      <c r="X890" s="63"/>
    </row>
    <row r="891" spans="22:24">
      <c r="V891" s="63"/>
      <c r="W891" s="63"/>
      <c r="X891" s="63"/>
    </row>
    <row r="892" spans="22:24">
      <c r="V892" s="63"/>
      <c r="W892" s="63"/>
      <c r="X892" s="63"/>
    </row>
    <row r="893" spans="22:24">
      <c r="V893" s="63"/>
      <c r="W893" s="63"/>
      <c r="X893" s="63"/>
    </row>
    <row r="894" spans="22:24">
      <c r="V894" s="63"/>
      <c r="W894" s="63"/>
      <c r="X894" s="63"/>
    </row>
    <row r="895" spans="22:24">
      <c r="V895" s="63"/>
      <c r="W895" s="63"/>
      <c r="X895" s="63"/>
    </row>
    <row r="896" spans="22:24">
      <c r="V896" s="63"/>
      <c r="W896" s="63"/>
      <c r="X896" s="63"/>
    </row>
    <row r="897" spans="22:24">
      <c r="V897" s="63"/>
      <c r="W897" s="63"/>
      <c r="X897" s="63"/>
    </row>
    <row r="898" spans="22:24">
      <c r="V898" s="63"/>
      <c r="W898" s="63"/>
      <c r="X898" s="63"/>
    </row>
    <row r="899" spans="22:24">
      <c r="V899" s="63"/>
      <c r="W899" s="63"/>
      <c r="X899" s="63"/>
    </row>
    <row r="900" spans="22:24">
      <c r="V900" s="63"/>
      <c r="W900" s="63"/>
      <c r="X900" s="63"/>
    </row>
    <row r="901" spans="22:24">
      <c r="V901" s="63"/>
      <c r="W901" s="63"/>
      <c r="X901" s="63"/>
    </row>
    <row r="902" spans="22:24">
      <c r="V902" s="63"/>
      <c r="W902" s="63"/>
      <c r="X902" s="63"/>
    </row>
    <row r="903" spans="22:24">
      <c r="V903" s="63"/>
      <c r="W903" s="63"/>
      <c r="X903" s="63"/>
    </row>
    <row r="904" spans="22:24">
      <c r="V904" s="63"/>
      <c r="W904" s="63"/>
      <c r="X904" s="63"/>
    </row>
    <row r="905" spans="22:24">
      <c r="V905" s="63"/>
      <c r="W905" s="63"/>
      <c r="X905" s="63"/>
    </row>
    <row r="906" spans="22:24">
      <c r="V906" s="63"/>
      <c r="W906" s="63"/>
      <c r="X906" s="63"/>
    </row>
    <row r="907" spans="22:24">
      <c r="V907" s="63"/>
      <c r="W907" s="63"/>
      <c r="X907" s="63"/>
    </row>
    <row r="908" spans="22:24">
      <c r="V908" s="63"/>
      <c r="W908" s="63"/>
      <c r="X908" s="63"/>
    </row>
    <row r="909" spans="22:24">
      <c r="V909" s="63"/>
      <c r="W909" s="63"/>
      <c r="X909" s="63"/>
    </row>
    <row r="910" spans="22:24">
      <c r="V910" s="63"/>
      <c r="W910" s="63"/>
      <c r="X910" s="63"/>
    </row>
    <row r="911" spans="22:24">
      <c r="V911" s="63"/>
      <c r="W911" s="63"/>
      <c r="X911" s="63"/>
    </row>
    <row r="912" spans="22:24">
      <c r="V912" s="63"/>
      <c r="W912" s="63"/>
      <c r="X912" s="63"/>
    </row>
    <row r="913" spans="22:24">
      <c r="V913" s="63"/>
      <c r="W913" s="63"/>
      <c r="X913" s="63"/>
    </row>
    <row r="914" spans="22:24">
      <c r="V914" s="63"/>
      <c r="W914" s="63"/>
      <c r="X914" s="63"/>
    </row>
    <row r="915" spans="22:24">
      <c r="V915" s="63"/>
      <c r="W915" s="63"/>
      <c r="X915" s="63"/>
    </row>
    <row r="916" spans="22:24">
      <c r="V916" s="63"/>
      <c r="W916" s="63"/>
      <c r="X916" s="63"/>
    </row>
    <row r="917" spans="22:24">
      <c r="V917" s="63"/>
      <c r="W917" s="63"/>
      <c r="X917" s="63"/>
    </row>
    <row r="918" spans="22:24">
      <c r="V918" s="63"/>
      <c r="W918" s="63"/>
      <c r="X918" s="63"/>
    </row>
    <row r="919" spans="22:24">
      <c r="V919" s="63"/>
      <c r="W919" s="63"/>
      <c r="X919" s="63"/>
    </row>
    <row r="920" spans="22:24">
      <c r="V920" s="63"/>
      <c r="W920" s="63"/>
      <c r="X920" s="63"/>
    </row>
    <row r="921" spans="22:24">
      <c r="V921" s="63"/>
      <c r="W921" s="63"/>
      <c r="X921" s="63"/>
    </row>
    <row r="922" spans="22:24">
      <c r="V922" s="63"/>
      <c r="W922" s="63"/>
      <c r="X922" s="63"/>
    </row>
    <row r="923" spans="22:24">
      <c r="V923" s="63"/>
      <c r="W923" s="63"/>
      <c r="X923" s="63"/>
    </row>
    <row r="924" spans="22:24">
      <c r="V924" s="63"/>
      <c r="W924" s="63"/>
      <c r="X924" s="63"/>
    </row>
    <row r="925" spans="22:24">
      <c r="V925" s="63"/>
      <c r="W925" s="63"/>
      <c r="X925" s="63"/>
    </row>
    <row r="926" spans="22:24">
      <c r="V926" s="63"/>
      <c r="W926" s="63"/>
      <c r="X926" s="63"/>
    </row>
    <row r="927" spans="22:24">
      <c r="V927" s="63"/>
      <c r="W927" s="63"/>
      <c r="X927" s="63"/>
    </row>
    <row r="928" spans="22:24">
      <c r="V928" s="63"/>
      <c r="W928" s="63"/>
      <c r="X928" s="63"/>
    </row>
    <row r="929" spans="22:24">
      <c r="V929" s="63"/>
      <c r="W929" s="63"/>
      <c r="X929" s="63"/>
    </row>
    <row r="930" spans="22:24">
      <c r="V930" s="63"/>
      <c r="W930" s="63"/>
      <c r="X930" s="63"/>
    </row>
    <row r="931" spans="22:24">
      <c r="V931" s="63"/>
      <c r="W931" s="63"/>
      <c r="X931" s="63"/>
    </row>
    <row r="932" spans="22:24">
      <c r="V932" s="63"/>
      <c r="W932" s="63"/>
      <c r="X932" s="63"/>
    </row>
    <row r="933" spans="22:24">
      <c r="V933" s="63"/>
      <c r="W933" s="63"/>
      <c r="X933" s="63"/>
    </row>
    <row r="934" spans="22:24">
      <c r="V934" s="63"/>
      <c r="W934" s="63"/>
      <c r="X934" s="63"/>
    </row>
    <row r="935" spans="22:24">
      <c r="V935" s="63"/>
      <c r="W935" s="63"/>
      <c r="X935" s="63"/>
    </row>
    <row r="936" spans="22:24">
      <c r="V936" s="63"/>
      <c r="W936" s="63"/>
      <c r="X936" s="63"/>
    </row>
    <row r="937" spans="22:24">
      <c r="V937" s="63"/>
      <c r="W937" s="63"/>
      <c r="X937" s="63"/>
    </row>
    <row r="938" spans="22:24">
      <c r="V938" s="63"/>
      <c r="W938" s="63"/>
      <c r="X938" s="63"/>
    </row>
    <row r="939" spans="22:24">
      <c r="V939" s="63"/>
      <c r="W939" s="63"/>
      <c r="X939" s="63"/>
    </row>
    <row r="940" spans="22:24">
      <c r="V940" s="63"/>
      <c r="W940" s="63"/>
      <c r="X940" s="63"/>
    </row>
    <row r="941" spans="22:24">
      <c r="V941" s="63"/>
      <c r="W941" s="63"/>
      <c r="X941" s="63"/>
    </row>
    <row r="942" spans="22:24">
      <c r="V942" s="63"/>
      <c r="W942" s="63"/>
      <c r="X942" s="63"/>
    </row>
    <row r="943" spans="22:24">
      <c r="V943" s="63"/>
      <c r="W943" s="63"/>
      <c r="X943" s="63"/>
    </row>
    <row r="944" spans="22:24">
      <c r="V944" s="63"/>
      <c r="W944" s="63"/>
      <c r="X944" s="63"/>
    </row>
    <row r="945" spans="22:24">
      <c r="V945" s="63"/>
      <c r="W945" s="63"/>
      <c r="X945" s="63"/>
    </row>
    <row r="946" spans="22:24">
      <c r="V946" s="63"/>
      <c r="W946" s="63"/>
      <c r="X946" s="63"/>
    </row>
    <row r="947" spans="22:24">
      <c r="V947" s="63"/>
      <c r="W947" s="63"/>
      <c r="X947" s="63"/>
    </row>
    <row r="948" spans="22:24">
      <c r="V948" s="63"/>
      <c r="W948" s="63"/>
      <c r="X948" s="63"/>
    </row>
    <row r="949" spans="22:24">
      <c r="V949" s="63"/>
      <c r="W949" s="63"/>
      <c r="X949" s="63"/>
    </row>
    <row r="950" spans="22:24">
      <c r="V950" s="63"/>
      <c r="W950" s="63"/>
      <c r="X950" s="63"/>
    </row>
    <row r="951" spans="22:24">
      <c r="V951" s="63"/>
      <c r="W951" s="63"/>
      <c r="X951" s="63"/>
    </row>
    <row r="952" spans="22:24">
      <c r="V952" s="63"/>
      <c r="W952" s="63"/>
      <c r="X952" s="63"/>
    </row>
    <row r="953" spans="22:24">
      <c r="V953" s="63"/>
      <c r="W953" s="63"/>
      <c r="X953" s="63"/>
    </row>
    <row r="954" spans="22:24">
      <c r="V954" s="63"/>
      <c r="W954" s="63"/>
      <c r="X954" s="63"/>
    </row>
    <row r="955" spans="22:24">
      <c r="V955" s="63"/>
      <c r="W955" s="63"/>
      <c r="X955" s="63"/>
    </row>
    <row r="956" spans="22:24">
      <c r="V956" s="63"/>
      <c r="W956" s="63"/>
      <c r="X956" s="63"/>
    </row>
    <row r="957" spans="22:24">
      <c r="V957" s="63"/>
      <c r="W957" s="63"/>
      <c r="X957" s="63"/>
    </row>
    <row r="958" spans="22:24">
      <c r="V958" s="63"/>
      <c r="W958" s="63"/>
      <c r="X958" s="63"/>
    </row>
    <row r="959" spans="22:24">
      <c r="V959" s="63"/>
      <c r="W959" s="63"/>
      <c r="X959" s="63"/>
    </row>
    <row r="960" spans="22:24">
      <c r="V960" s="63"/>
      <c r="W960" s="63"/>
      <c r="X960" s="63"/>
    </row>
    <row r="961" spans="22:24">
      <c r="V961" s="63"/>
      <c r="W961" s="63"/>
      <c r="X961" s="63"/>
    </row>
    <row r="962" spans="22:24">
      <c r="V962" s="63"/>
      <c r="W962" s="63"/>
      <c r="X962" s="63"/>
    </row>
    <row r="963" spans="22:24">
      <c r="V963" s="63"/>
      <c r="W963" s="63"/>
      <c r="X963" s="63"/>
    </row>
    <row r="964" spans="22:24">
      <c r="V964" s="63"/>
      <c r="W964" s="63"/>
      <c r="X964" s="63"/>
    </row>
    <row r="965" spans="22:24">
      <c r="V965" s="63"/>
      <c r="W965" s="63"/>
      <c r="X965" s="63"/>
    </row>
    <row r="966" spans="22:24">
      <c r="V966" s="63"/>
      <c r="W966" s="63"/>
      <c r="X966" s="63"/>
    </row>
    <row r="967" spans="22:24">
      <c r="V967" s="63"/>
      <c r="W967" s="63"/>
      <c r="X967" s="63"/>
    </row>
    <row r="968" spans="22:24">
      <c r="V968" s="63"/>
      <c r="W968" s="63"/>
      <c r="X968" s="63"/>
    </row>
    <row r="969" spans="22:24">
      <c r="V969" s="63"/>
      <c r="W969" s="63"/>
      <c r="X969" s="63"/>
    </row>
    <row r="970" spans="22:24">
      <c r="V970" s="63"/>
      <c r="W970" s="63"/>
      <c r="X970" s="63"/>
    </row>
    <row r="971" spans="22:24">
      <c r="V971" s="63"/>
      <c r="W971" s="63"/>
      <c r="X971" s="63"/>
    </row>
    <row r="972" spans="22:24">
      <c r="V972" s="63"/>
      <c r="W972" s="63"/>
      <c r="X972" s="63"/>
    </row>
    <row r="973" spans="22:24">
      <c r="V973" s="63"/>
      <c r="W973" s="63"/>
      <c r="X973" s="63"/>
    </row>
    <row r="974" spans="22:24">
      <c r="V974" s="63"/>
      <c r="W974" s="63"/>
      <c r="X974" s="63"/>
    </row>
    <row r="975" spans="22:24">
      <c r="V975" s="63"/>
      <c r="W975" s="63"/>
      <c r="X975" s="63"/>
    </row>
    <row r="976" spans="22:24">
      <c r="V976" s="63"/>
      <c r="W976" s="63"/>
      <c r="X976" s="63"/>
    </row>
    <row r="977" spans="22:24">
      <c r="V977" s="63"/>
      <c r="W977" s="63"/>
      <c r="X977" s="63"/>
    </row>
    <row r="978" spans="22:24">
      <c r="V978" s="63"/>
      <c r="W978" s="63"/>
      <c r="X978" s="63"/>
    </row>
    <row r="979" spans="22:24">
      <c r="V979" s="63"/>
      <c r="W979" s="63"/>
      <c r="X979" s="63"/>
    </row>
    <row r="980" spans="22:24">
      <c r="V980" s="63"/>
      <c r="W980" s="63"/>
      <c r="X980" s="63"/>
    </row>
    <row r="981" spans="22:24">
      <c r="V981" s="63"/>
      <c r="W981" s="63"/>
      <c r="X981" s="63"/>
    </row>
    <row r="982" spans="22:24">
      <c r="V982" s="63"/>
      <c r="W982" s="63"/>
      <c r="X982" s="63"/>
    </row>
    <row r="983" spans="22:24">
      <c r="V983" s="63"/>
      <c r="W983" s="63"/>
      <c r="X983" s="63"/>
    </row>
    <row r="984" spans="22:24">
      <c r="V984" s="63"/>
      <c r="W984" s="63"/>
      <c r="X984" s="63"/>
    </row>
    <row r="985" spans="22:24">
      <c r="V985" s="63"/>
      <c r="W985" s="63"/>
      <c r="X985" s="63"/>
    </row>
    <row r="986" spans="22:24">
      <c r="V986" s="63"/>
      <c r="W986" s="63"/>
      <c r="X986" s="63"/>
    </row>
    <row r="987" spans="22:24">
      <c r="V987" s="63"/>
      <c r="W987" s="63"/>
      <c r="X987" s="63"/>
    </row>
    <row r="988" spans="22:24">
      <c r="V988" s="63"/>
      <c r="W988" s="63"/>
      <c r="X988" s="63"/>
    </row>
    <row r="989" spans="22:24">
      <c r="V989" s="63"/>
      <c r="W989" s="63"/>
      <c r="X989" s="63"/>
    </row>
    <row r="990" spans="22:24">
      <c r="V990" s="63"/>
      <c r="W990" s="63"/>
      <c r="X990" s="63"/>
    </row>
    <row r="991" spans="22:24">
      <c r="V991" s="63"/>
      <c r="W991" s="63"/>
      <c r="X991" s="63"/>
    </row>
    <row r="992" spans="22:24">
      <c r="V992" s="63"/>
      <c r="W992" s="63"/>
      <c r="X992" s="63"/>
    </row>
    <row r="993" spans="22:24">
      <c r="V993" s="63"/>
      <c r="W993" s="63"/>
      <c r="X993" s="63"/>
    </row>
    <row r="994" spans="22:24">
      <c r="V994" s="63"/>
      <c r="W994" s="63"/>
      <c r="X994" s="63"/>
    </row>
    <row r="995" spans="22:24">
      <c r="V995" s="63"/>
      <c r="W995" s="63"/>
      <c r="X995" s="63"/>
    </row>
    <row r="996" spans="22:24">
      <c r="V996" s="63"/>
      <c r="W996" s="63"/>
      <c r="X996" s="63"/>
    </row>
    <row r="997" spans="22:24">
      <c r="V997" s="63"/>
      <c r="W997" s="63"/>
      <c r="X997" s="63"/>
    </row>
    <row r="998" spans="22:24">
      <c r="V998" s="63"/>
      <c r="W998" s="63"/>
      <c r="X998" s="63"/>
    </row>
    <row r="999" spans="22:24">
      <c r="V999" s="63"/>
      <c r="W999" s="63"/>
      <c r="X999" s="63"/>
    </row>
    <row r="1000" spans="22:24">
      <c r="V1000" s="63"/>
      <c r="W1000" s="63"/>
      <c r="X1000" s="63"/>
    </row>
    <row r="1001" spans="22:24">
      <c r="V1001" s="63"/>
      <c r="W1001" s="63"/>
      <c r="X1001" s="63"/>
    </row>
    <row r="1002" spans="22:24">
      <c r="V1002" s="63"/>
      <c r="W1002" s="63"/>
      <c r="X1002" s="63"/>
    </row>
    <row r="1003" spans="22:24">
      <c r="V1003" s="63"/>
      <c r="W1003" s="63"/>
      <c r="X1003" s="63"/>
    </row>
    <row r="1004" spans="22:24">
      <c r="V1004" s="63"/>
      <c r="W1004" s="63"/>
      <c r="X1004" s="63"/>
    </row>
    <row r="1005" spans="22:24">
      <c r="V1005" s="63"/>
      <c r="W1005" s="63"/>
      <c r="X1005" s="63"/>
    </row>
    <row r="1006" spans="22:24">
      <c r="V1006" s="63"/>
      <c r="W1006" s="63"/>
      <c r="X1006" s="63"/>
    </row>
    <row r="1007" spans="22:24">
      <c r="V1007" s="63"/>
      <c r="W1007" s="63"/>
      <c r="X1007" s="63"/>
    </row>
    <row r="1008" spans="22:24">
      <c r="V1008" s="63"/>
      <c r="W1008" s="63"/>
      <c r="X1008" s="63"/>
    </row>
    <row r="1009" spans="22:24">
      <c r="V1009" s="63"/>
      <c r="W1009" s="63"/>
      <c r="X1009" s="63"/>
    </row>
    <row r="1010" spans="22:24">
      <c r="V1010" s="63"/>
      <c r="W1010" s="63"/>
      <c r="X1010" s="63"/>
    </row>
    <row r="1011" spans="22:24">
      <c r="V1011" s="63"/>
      <c r="W1011" s="63"/>
      <c r="X1011" s="63"/>
    </row>
    <row r="1012" spans="22:24">
      <c r="V1012" s="63"/>
      <c r="W1012" s="63"/>
      <c r="X1012" s="63"/>
    </row>
    <row r="1013" spans="22:24">
      <c r="V1013" s="63"/>
      <c r="W1013" s="63"/>
      <c r="X1013" s="63"/>
    </row>
    <row r="1014" spans="22:24">
      <c r="V1014" s="63"/>
      <c r="W1014" s="63"/>
      <c r="X1014" s="63"/>
    </row>
    <row r="1015" spans="22:24">
      <c r="V1015" s="63"/>
      <c r="W1015" s="63"/>
      <c r="X1015" s="63"/>
    </row>
    <row r="1016" spans="22:24">
      <c r="V1016" s="63"/>
      <c r="W1016" s="63"/>
      <c r="X1016" s="63"/>
    </row>
    <row r="1017" spans="22:24">
      <c r="V1017" s="63"/>
      <c r="W1017" s="63"/>
      <c r="X1017" s="63"/>
    </row>
    <row r="1018" spans="22:24">
      <c r="V1018" s="63"/>
      <c r="W1018" s="63"/>
      <c r="X1018" s="63"/>
    </row>
    <row r="1019" spans="22:24">
      <c r="V1019" s="63"/>
      <c r="W1019" s="63"/>
      <c r="X1019" s="63"/>
    </row>
    <row r="1020" spans="22:24">
      <c r="V1020" s="63"/>
      <c r="W1020" s="63"/>
      <c r="X1020" s="63"/>
    </row>
    <row r="1021" spans="22:24">
      <c r="V1021" s="63"/>
      <c r="W1021" s="63"/>
      <c r="X1021" s="63"/>
    </row>
    <row r="1022" spans="22:24">
      <c r="V1022" s="63"/>
      <c r="W1022" s="63"/>
      <c r="X1022" s="63"/>
    </row>
    <row r="1023" spans="22:24">
      <c r="V1023" s="63"/>
      <c r="W1023" s="63"/>
      <c r="X1023" s="63"/>
    </row>
    <row r="1024" spans="22:24">
      <c r="V1024" s="63"/>
      <c r="W1024" s="63"/>
      <c r="X1024" s="63"/>
    </row>
    <row r="1025" spans="22:24">
      <c r="V1025" s="63"/>
      <c r="W1025" s="63"/>
      <c r="X1025" s="63"/>
    </row>
    <row r="1026" spans="22:24">
      <c r="V1026" s="63"/>
      <c r="W1026" s="63"/>
      <c r="X1026" s="63"/>
    </row>
    <row r="1027" spans="22:24">
      <c r="V1027" s="63"/>
      <c r="W1027" s="63"/>
      <c r="X1027" s="63"/>
    </row>
    <row r="1028" spans="22:24">
      <c r="V1028" s="63"/>
      <c r="W1028" s="63"/>
      <c r="X1028" s="63"/>
    </row>
    <row r="1029" spans="22:24">
      <c r="V1029" s="63"/>
      <c r="W1029" s="63"/>
      <c r="X1029" s="63"/>
    </row>
    <row r="1030" spans="22:24">
      <c r="V1030" s="63"/>
      <c r="W1030" s="63"/>
      <c r="X1030" s="63"/>
    </row>
    <row r="1031" spans="22:24">
      <c r="V1031" s="63"/>
      <c r="W1031" s="63"/>
      <c r="X1031" s="63"/>
    </row>
    <row r="1032" spans="22:24">
      <c r="V1032" s="63"/>
      <c r="W1032" s="63"/>
      <c r="X1032" s="63"/>
    </row>
    <row r="1033" spans="22:24">
      <c r="V1033" s="63"/>
      <c r="W1033" s="63"/>
      <c r="X1033" s="63"/>
    </row>
    <row r="1034" spans="22:24">
      <c r="V1034" s="63"/>
      <c r="W1034" s="63"/>
      <c r="X1034" s="63"/>
    </row>
    <row r="1035" spans="22:24">
      <c r="V1035" s="63"/>
      <c r="W1035" s="63"/>
      <c r="X1035" s="63"/>
    </row>
    <row r="1036" spans="22:24">
      <c r="V1036" s="63"/>
      <c r="W1036" s="63"/>
      <c r="X1036" s="63"/>
    </row>
    <row r="1037" spans="22:24">
      <c r="V1037" s="63"/>
      <c r="W1037" s="63"/>
      <c r="X1037" s="63"/>
    </row>
    <row r="1038" spans="22:24">
      <c r="V1038" s="63"/>
      <c r="W1038" s="63"/>
      <c r="X1038" s="63"/>
    </row>
    <row r="1039" spans="22:24">
      <c r="V1039" s="63"/>
      <c r="W1039" s="63"/>
      <c r="X1039" s="63"/>
    </row>
    <row r="1040" spans="22:24">
      <c r="V1040" s="63"/>
      <c r="W1040" s="63"/>
      <c r="X1040" s="63"/>
    </row>
    <row r="1041" spans="22:24">
      <c r="V1041" s="63"/>
      <c r="W1041" s="63"/>
      <c r="X1041" s="63"/>
    </row>
    <row r="1042" spans="22:24">
      <c r="V1042" s="63"/>
      <c r="W1042" s="63"/>
      <c r="X1042" s="63"/>
    </row>
    <row r="1043" spans="22:24">
      <c r="V1043" s="63"/>
      <c r="W1043" s="63"/>
      <c r="X1043" s="63"/>
    </row>
    <row r="1044" spans="22:24">
      <c r="V1044" s="63"/>
      <c r="W1044" s="63"/>
      <c r="X1044" s="63"/>
    </row>
    <row r="1045" spans="22:24">
      <c r="V1045" s="63"/>
      <c r="W1045" s="63"/>
      <c r="X1045" s="63"/>
    </row>
    <row r="1046" spans="22:24">
      <c r="V1046" s="63"/>
      <c r="W1046" s="63"/>
      <c r="X1046" s="63"/>
    </row>
    <row r="1047" spans="22:24">
      <c r="V1047" s="63"/>
      <c r="W1047" s="63"/>
      <c r="X1047" s="63"/>
    </row>
    <row r="1048" spans="22:24">
      <c r="V1048" s="63"/>
      <c r="W1048" s="63"/>
      <c r="X1048" s="63"/>
    </row>
    <row r="1049" spans="22:24">
      <c r="V1049" s="63"/>
      <c r="W1049" s="63"/>
      <c r="X1049" s="63"/>
    </row>
    <row r="1050" spans="22:24">
      <c r="V1050" s="63"/>
      <c r="W1050" s="63"/>
      <c r="X1050" s="63"/>
    </row>
    <row r="1051" spans="22:24">
      <c r="V1051" s="63"/>
      <c r="W1051" s="63"/>
      <c r="X1051" s="63"/>
    </row>
    <row r="1052" spans="22:24">
      <c r="V1052" s="63"/>
      <c r="W1052" s="63"/>
      <c r="X1052" s="63"/>
    </row>
    <row r="1053" spans="22:24">
      <c r="V1053" s="63"/>
      <c r="W1053" s="63"/>
      <c r="X1053" s="63"/>
    </row>
    <row r="1054" spans="22:24">
      <c r="V1054" s="63"/>
      <c r="W1054" s="63"/>
      <c r="X1054" s="63"/>
    </row>
    <row r="1055" spans="22:24">
      <c r="V1055" s="63"/>
      <c r="W1055" s="63"/>
      <c r="X1055" s="63"/>
    </row>
    <row r="1056" spans="22:24">
      <c r="V1056" s="63"/>
      <c r="W1056" s="63"/>
      <c r="X1056" s="63"/>
    </row>
    <row r="1057" spans="22:24">
      <c r="V1057" s="63"/>
      <c r="W1057" s="63"/>
      <c r="X1057" s="63"/>
    </row>
    <row r="1058" spans="22:24">
      <c r="V1058" s="63"/>
      <c r="W1058" s="63"/>
      <c r="X1058" s="63"/>
    </row>
    <row r="1059" spans="22:24">
      <c r="V1059" s="63"/>
      <c r="W1059" s="63"/>
      <c r="X1059" s="63"/>
    </row>
    <row r="1060" spans="22:24">
      <c r="V1060" s="63"/>
      <c r="W1060" s="63"/>
      <c r="X1060" s="63"/>
    </row>
    <row r="1061" spans="22:24">
      <c r="V1061" s="63"/>
      <c r="W1061" s="63"/>
      <c r="X1061" s="63"/>
    </row>
    <row r="1062" spans="22:24">
      <c r="V1062" s="63"/>
      <c r="W1062" s="63"/>
      <c r="X1062" s="63"/>
    </row>
    <row r="1063" spans="22:24">
      <c r="V1063" s="63"/>
      <c r="W1063" s="63"/>
      <c r="X1063" s="63"/>
    </row>
    <row r="1064" spans="22:24">
      <c r="V1064" s="63"/>
      <c r="W1064" s="63"/>
      <c r="X1064" s="63"/>
    </row>
    <row r="1065" spans="22:24">
      <c r="V1065" s="63"/>
      <c r="W1065" s="63"/>
      <c r="X1065" s="63"/>
    </row>
    <row r="1066" spans="22:24">
      <c r="V1066" s="63"/>
      <c r="W1066" s="63"/>
      <c r="X1066" s="63"/>
    </row>
    <row r="1067" spans="22:24">
      <c r="V1067" s="63"/>
      <c r="W1067" s="63"/>
      <c r="X1067" s="63"/>
    </row>
    <row r="1068" spans="22:24">
      <c r="V1068" s="63"/>
      <c r="W1068" s="63"/>
      <c r="X1068" s="63"/>
    </row>
    <row r="1069" spans="22:24">
      <c r="V1069" s="63"/>
      <c r="W1069" s="63"/>
      <c r="X1069" s="63"/>
    </row>
    <row r="1070" spans="22:24">
      <c r="V1070" s="63"/>
      <c r="W1070" s="63"/>
      <c r="X1070" s="63"/>
    </row>
    <row r="1071" spans="22:24">
      <c r="V1071" s="63"/>
      <c r="W1071" s="63"/>
      <c r="X1071" s="63"/>
    </row>
    <row r="1072" spans="22:24">
      <c r="V1072" s="63"/>
      <c r="W1072" s="63"/>
      <c r="X1072" s="63"/>
    </row>
    <row r="1073" spans="22:24">
      <c r="V1073" s="63"/>
      <c r="W1073" s="63"/>
      <c r="X1073" s="63"/>
    </row>
    <row r="1074" spans="22:24">
      <c r="V1074" s="63"/>
      <c r="W1074" s="63"/>
      <c r="X1074" s="63"/>
    </row>
    <row r="1075" spans="22:24">
      <c r="V1075" s="63"/>
      <c r="W1075" s="63"/>
      <c r="X1075" s="63"/>
    </row>
    <row r="1076" spans="22:24">
      <c r="V1076" s="63"/>
      <c r="W1076" s="63"/>
      <c r="X1076" s="63"/>
    </row>
    <row r="1077" spans="22:24">
      <c r="V1077" s="63"/>
      <c r="W1077" s="63"/>
      <c r="X1077" s="63"/>
    </row>
    <row r="1078" spans="22:24">
      <c r="V1078" s="63"/>
      <c r="W1078" s="63"/>
      <c r="X1078" s="63"/>
    </row>
    <row r="1079" spans="22:24">
      <c r="V1079" s="63"/>
      <c r="W1079" s="63"/>
      <c r="X1079" s="63"/>
    </row>
    <row r="1080" spans="22:24">
      <c r="V1080" s="63"/>
      <c r="W1080" s="63"/>
      <c r="X1080" s="63"/>
    </row>
    <row r="1081" spans="22:24">
      <c r="V1081" s="63"/>
      <c r="W1081" s="63"/>
      <c r="X1081" s="63"/>
    </row>
    <row r="1082" spans="22:24">
      <c r="V1082" s="63"/>
      <c r="W1082" s="63"/>
      <c r="X1082" s="63"/>
    </row>
    <row r="1083" spans="22:24">
      <c r="V1083" s="63"/>
      <c r="W1083" s="63"/>
      <c r="X1083" s="63"/>
    </row>
    <row r="1084" spans="22:24">
      <c r="V1084" s="63"/>
      <c r="W1084" s="63"/>
      <c r="X1084" s="63"/>
    </row>
    <row r="1085" spans="22:24">
      <c r="V1085" s="63"/>
      <c r="W1085" s="63"/>
      <c r="X1085" s="63"/>
    </row>
    <row r="1086" spans="22:24">
      <c r="V1086" s="63"/>
      <c r="W1086" s="63"/>
      <c r="X1086" s="63"/>
    </row>
    <row r="1087" spans="22:24">
      <c r="V1087" s="63"/>
      <c r="W1087" s="63"/>
      <c r="X1087" s="63"/>
    </row>
    <row r="1088" spans="22:24">
      <c r="V1088" s="63"/>
      <c r="W1088" s="63"/>
      <c r="X1088" s="63"/>
    </row>
    <row r="1089" spans="22:24">
      <c r="V1089" s="63"/>
      <c r="W1089" s="63"/>
      <c r="X1089" s="63"/>
    </row>
    <row r="1090" spans="22:24">
      <c r="V1090" s="63"/>
      <c r="W1090" s="63"/>
      <c r="X1090" s="63"/>
    </row>
    <row r="1091" spans="22:24">
      <c r="V1091" s="63"/>
      <c r="W1091" s="63"/>
      <c r="X1091" s="63"/>
    </row>
    <row r="1092" spans="22:24">
      <c r="V1092" s="63"/>
      <c r="W1092" s="63"/>
      <c r="X1092" s="63"/>
    </row>
    <row r="1093" spans="22:24">
      <c r="V1093" s="63"/>
      <c r="W1093" s="63"/>
      <c r="X1093" s="63"/>
    </row>
    <row r="1094" spans="22:24">
      <c r="V1094" s="63"/>
      <c r="W1094" s="63"/>
      <c r="X1094" s="63"/>
    </row>
    <row r="1095" spans="22:24">
      <c r="V1095" s="63"/>
      <c r="W1095" s="63"/>
      <c r="X1095" s="63"/>
    </row>
    <row r="1096" spans="22:24">
      <c r="V1096" s="63"/>
      <c r="W1096" s="63"/>
      <c r="X1096" s="63"/>
    </row>
    <row r="1097" spans="22:24">
      <c r="V1097" s="63"/>
      <c r="W1097" s="63"/>
      <c r="X1097" s="63"/>
    </row>
    <row r="1098" spans="22:24">
      <c r="V1098" s="63"/>
      <c r="W1098" s="63"/>
      <c r="X1098" s="63"/>
    </row>
    <row r="1099" spans="22:24">
      <c r="V1099" s="63"/>
      <c r="W1099" s="63"/>
      <c r="X1099" s="63"/>
    </row>
    <row r="1100" spans="22:24">
      <c r="V1100" s="63"/>
      <c r="W1100" s="63"/>
      <c r="X1100" s="63"/>
    </row>
    <row r="1101" spans="22:24">
      <c r="V1101" s="63"/>
      <c r="W1101" s="63"/>
      <c r="X1101" s="63"/>
    </row>
    <row r="1102" spans="22:24">
      <c r="V1102" s="63"/>
      <c r="W1102" s="63"/>
      <c r="X1102" s="63"/>
    </row>
    <row r="1103" spans="22:24">
      <c r="V1103" s="63"/>
      <c r="W1103" s="63"/>
      <c r="X1103" s="63"/>
    </row>
    <row r="1104" spans="22:24">
      <c r="V1104" s="63"/>
      <c r="W1104" s="63"/>
      <c r="X1104" s="63"/>
    </row>
    <row r="1105" spans="22:24">
      <c r="V1105" s="63"/>
      <c r="W1105" s="63"/>
      <c r="X1105" s="63"/>
    </row>
    <row r="1106" spans="22:24">
      <c r="V1106" s="63"/>
      <c r="W1106" s="63"/>
      <c r="X1106" s="63"/>
    </row>
    <row r="1107" spans="22:24">
      <c r="V1107" s="63"/>
      <c r="W1107" s="63"/>
      <c r="X1107" s="63"/>
    </row>
    <row r="1108" spans="22:24">
      <c r="V1108" s="63"/>
      <c r="W1108" s="63"/>
      <c r="X1108" s="63"/>
    </row>
    <row r="1109" spans="22:24">
      <c r="V1109" s="63"/>
      <c r="W1109" s="63"/>
      <c r="X1109" s="63"/>
    </row>
    <row r="1110" spans="22:24">
      <c r="V1110" s="63"/>
      <c r="W1110" s="63"/>
      <c r="X1110" s="63"/>
    </row>
    <row r="1111" spans="22:24">
      <c r="V1111" s="63"/>
      <c r="W1111" s="63"/>
      <c r="X1111" s="63"/>
    </row>
    <row r="1112" spans="22:24">
      <c r="V1112" s="63"/>
      <c r="W1112" s="63"/>
      <c r="X1112" s="63"/>
    </row>
    <row r="1113" spans="22:24">
      <c r="V1113" s="63"/>
      <c r="W1113" s="63"/>
      <c r="X1113" s="63"/>
    </row>
    <row r="1114" spans="22:24">
      <c r="V1114" s="63"/>
      <c r="W1114" s="63"/>
      <c r="X1114" s="63"/>
    </row>
    <row r="1115" spans="22:24">
      <c r="V1115" s="63"/>
      <c r="W1115" s="63"/>
      <c r="X1115" s="63"/>
    </row>
    <row r="1116" spans="22:24">
      <c r="V1116" s="63"/>
      <c r="W1116" s="63"/>
      <c r="X1116" s="63"/>
    </row>
    <row r="1117" spans="22:24">
      <c r="V1117" s="63"/>
      <c r="W1117" s="63"/>
      <c r="X1117" s="63"/>
    </row>
    <row r="1118" spans="22:24">
      <c r="V1118" s="63"/>
      <c r="W1118" s="63"/>
      <c r="X1118" s="63"/>
    </row>
    <row r="1119" spans="22:24">
      <c r="V1119" s="63"/>
      <c r="W1119" s="63"/>
      <c r="X1119" s="63"/>
    </row>
    <row r="1120" spans="22:24">
      <c r="V1120" s="63"/>
      <c r="W1120" s="63"/>
      <c r="X1120" s="63"/>
    </row>
    <row r="1121" spans="22:24">
      <c r="V1121" s="63"/>
      <c r="W1121" s="63"/>
      <c r="X1121" s="63"/>
    </row>
    <row r="1122" spans="22:24">
      <c r="V1122" s="63"/>
      <c r="W1122" s="63"/>
      <c r="X1122" s="63"/>
    </row>
    <row r="1123" spans="22:24">
      <c r="V1123" s="63"/>
      <c r="W1123" s="63"/>
      <c r="X1123" s="63"/>
    </row>
    <row r="1124" spans="22:24">
      <c r="V1124" s="63"/>
      <c r="W1124" s="63"/>
      <c r="X1124" s="63"/>
    </row>
    <row r="1125" spans="22:24">
      <c r="V1125" s="63"/>
      <c r="W1125" s="63"/>
      <c r="X1125" s="63"/>
    </row>
    <row r="1126" spans="22:24">
      <c r="V1126" s="63"/>
      <c r="W1126" s="63"/>
      <c r="X1126" s="63"/>
    </row>
    <row r="1127" spans="22:24">
      <c r="V1127" s="63"/>
      <c r="W1127" s="63"/>
      <c r="X1127" s="63"/>
    </row>
    <row r="1128" spans="22:24">
      <c r="V1128" s="63"/>
      <c r="W1128" s="63"/>
      <c r="X1128" s="63"/>
    </row>
    <row r="1129" spans="22:24">
      <c r="V1129" s="63"/>
      <c r="W1129" s="63"/>
      <c r="X1129" s="63"/>
    </row>
    <row r="1130" spans="22:24">
      <c r="V1130" s="63"/>
      <c r="W1130" s="63"/>
      <c r="X1130" s="63"/>
    </row>
    <row r="1131" spans="22:24">
      <c r="V1131" s="63"/>
      <c r="W1131" s="63"/>
      <c r="X1131" s="63"/>
    </row>
    <row r="1132" spans="22:24">
      <c r="V1132" s="63"/>
      <c r="W1132" s="63"/>
      <c r="X1132" s="63"/>
    </row>
    <row r="1133" spans="22:24">
      <c r="V1133" s="63"/>
      <c r="W1133" s="63"/>
      <c r="X1133" s="63"/>
    </row>
    <row r="1134" spans="22:24">
      <c r="V1134" s="63"/>
      <c r="W1134" s="63"/>
      <c r="X1134" s="63"/>
    </row>
    <row r="1135" spans="22:24">
      <c r="V1135" s="63"/>
      <c r="W1135" s="63"/>
      <c r="X1135" s="63"/>
    </row>
    <row r="1136" spans="22:24">
      <c r="V1136" s="63"/>
      <c r="W1136" s="63"/>
      <c r="X1136" s="63"/>
    </row>
    <row r="1137" spans="22:24">
      <c r="V1137" s="63"/>
      <c r="W1137" s="63"/>
      <c r="X1137" s="63"/>
    </row>
    <row r="1138" spans="22:24">
      <c r="V1138" s="63"/>
      <c r="W1138" s="63"/>
      <c r="X1138" s="63"/>
    </row>
    <row r="1139" spans="22:24">
      <c r="V1139" s="63"/>
      <c r="W1139" s="63"/>
      <c r="X1139" s="63"/>
    </row>
    <row r="1140" spans="22:24">
      <c r="V1140" s="63"/>
      <c r="W1140" s="63"/>
      <c r="X1140" s="63"/>
    </row>
    <row r="1141" spans="22:24">
      <c r="V1141" s="63"/>
      <c r="W1141" s="63"/>
      <c r="X1141" s="63"/>
    </row>
    <row r="1142" spans="22:24">
      <c r="V1142" s="63"/>
      <c r="W1142" s="63"/>
      <c r="X1142" s="63"/>
    </row>
    <row r="3721" spans="8:8">
      <c r="H3721" s="30">
        <v>0</v>
      </c>
    </row>
    <row r="3722" spans="8:8">
      <c r="H3722" s="30">
        <v>0</v>
      </c>
    </row>
  </sheetData>
  <mergeCells count="1">
    <mergeCell ref="AP8:AS8"/>
  </mergeCells>
  <hyperlinks>
    <hyperlink ref="J147" r:id="rId1"/>
  </hyperlinks>
  <printOptions gridLines="1" gridLinesSet="0"/>
  <pageMargins left="0.75" right="0.75" top="1" bottom="1" header="0.5" footer="0.5"/>
  <pageSetup paperSize="9" scale="10" orientation="landscape" horizontalDpi="4294967292" verticalDpi="180" r:id="rId2"/>
  <headerFooter alignWithMargins="0">
    <oddHeader>&amp;A</oddHeader>
    <oddFooter>Page &amp;P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CB10:CH33"/>
  <sheetViews>
    <sheetView workbookViewId="0"/>
  </sheetViews>
  <sheetFormatPr defaultRowHeight="12.75"/>
  <sheetData>
    <row r="10" spans="80:86">
      <c r="CB10" t="s">
        <v>152</v>
      </c>
      <c r="CE10" t="s">
        <v>152</v>
      </c>
      <c r="CG10" t="s">
        <v>152</v>
      </c>
      <c r="CH10" t="s">
        <v>152</v>
      </c>
    </row>
    <row r="11" spans="80:86">
      <c r="CB11" t="s">
        <v>152</v>
      </c>
      <c r="CE11" t="s">
        <v>152</v>
      </c>
      <c r="CG11" t="s">
        <v>152</v>
      </c>
      <c r="CH11" t="s">
        <v>152</v>
      </c>
    </row>
    <row r="12" spans="80:86">
      <c r="CB12" t="s">
        <v>152</v>
      </c>
      <c r="CE12" t="s">
        <v>152</v>
      </c>
      <c r="CG12" t="s">
        <v>152</v>
      </c>
      <c r="CH12" t="s">
        <v>152</v>
      </c>
    </row>
    <row r="13" spans="80:86">
      <c r="CB13" t="s">
        <v>152</v>
      </c>
      <c r="CE13" t="s">
        <v>152</v>
      </c>
      <c r="CG13" t="s">
        <v>152</v>
      </c>
      <c r="CH13" t="s">
        <v>152</v>
      </c>
    </row>
    <row r="14" spans="80:86">
      <c r="CB14" t="s">
        <v>152</v>
      </c>
      <c r="CE14" t="s">
        <v>152</v>
      </c>
      <c r="CG14" t="s">
        <v>152</v>
      </c>
      <c r="CH14" t="s">
        <v>152</v>
      </c>
    </row>
    <row r="15" spans="80:86">
      <c r="CB15" t="s">
        <v>152</v>
      </c>
      <c r="CE15" t="s">
        <v>152</v>
      </c>
      <c r="CG15" t="s">
        <v>152</v>
      </c>
      <c r="CH15" t="s">
        <v>152</v>
      </c>
    </row>
    <row r="16" spans="80:86">
      <c r="CB16" t="s">
        <v>152</v>
      </c>
      <c r="CE16" t="s">
        <v>152</v>
      </c>
      <c r="CG16" t="s">
        <v>152</v>
      </c>
      <c r="CH16" t="s">
        <v>152</v>
      </c>
    </row>
    <row r="17" spans="80:86">
      <c r="CB17" t="s">
        <v>152</v>
      </c>
      <c r="CE17" t="s">
        <v>152</v>
      </c>
      <c r="CG17" t="s">
        <v>152</v>
      </c>
      <c r="CH17" t="s">
        <v>152</v>
      </c>
    </row>
    <row r="18" spans="80:86">
      <c r="CB18" t="s">
        <v>152</v>
      </c>
      <c r="CE18" t="s">
        <v>152</v>
      </c>
      <c r="CG18" t="s">
        <v>152</v>
      </c>
      <c r="CH18" t="s">
        <v>152</v>
      </c>
    </row>
    <row r="19" spans="80:86">
      <c r="CB19" t="s">
        <v>152</v>
      </c>
      <c r="CE19" t="s">
        <v>152</v>
      </c>
      <c r="CG19" t="s">
        <v>152</v>
      </c>
      <c r="CH19" t="s">
        <v>152</v>
      </c>
    </row>
    <row r="20" spans="80:86">
      <c r="CB20" t="s">
        <v>152</v>
      </c>
      <c r="CE20" t="s">
        <v>152</v>
      </c>
      <c r="CG20" t="s">
        <v>152</v>
      </c>
      <c r="CH20" t="s">
        <v>152</v>
      </c>
    </row>
    <row r="21" spans="80:86">
      <c r="CB21" t="s">
        <v>152</v>
      </c>
      <c r="CE21" t="s">
        <v>152</v>
      </c>
      <c r="CG21" t="s">
        <v>152</v>
      </c>
      <c r="CH21" t="s">
        <v>152</v>
      </c>
    </row>
    <row r="22" spans="80:86">
      <c r="CB22" t="s">
        <v>152</v>
      </c>
      <c r="CE22" t="s">
        <v>152</v>
      </c>
      <c r="CG22" t="s">
        <v>152</v>
      </c>
      <c r="CH22" t="s">
        <v>152</v>
      </c>
    </row>
    <row r="23" spans="80:86">
      <c r="CB23" t="s">
        <v>152</v>
      </c>
      <c r="CE23" t="s">
        <v>152</v>
      </c>
      <c r="CG23" t="s">
        <v>152</v>
      </c>
      <c r="CH23" t="s">
        <v>152</v>
      </c>
    </row>
    <row r="24" spans="80:86">
      <c r="CB24" t="s">
        <v>152</v>
      </c>
      <c r="CE24" t="s">
        <v>152</v>
      </c>
      <c r="CG24" t="s">
        <v>152</v>
      </c>
      <c r="CH24" t="s">
        <v>152</v>
      </c>
    </row>
    <row r="25" spans="80:86">
      <c r="CB25" t="s">
        <v>152</v>
      </c>
      <c r="CE25" t="s">
        <v>152</v>
      </c>
      <c r="CG25" t="s">
        <v>152</v>
      </c>
      <c r="CH25" t="s">
        <v>152</v>
      </c>
    </row>
    <row r="26" spans="80:86">
      <c r="CB26" t="s">
        <v>152</v>
      </c>
      <c r="CE26" t="s">
        <v>152</v>
      </c>
      <c r="CG26" t="s">
        <v>152</v>
      </c>
      <c r="CH26" t="s">
        <v>152</v>
      </c>
    </row>
    <row r="27" spans="80:86">
      <c r="CB27" t="s">
        <v>152</v>
      </c>
      <c r="CE27" t="s">
        <v>152</v>
      </c>
      <c r="CG27" t="s">
        <v>152</v>
      </c>
      <c r="CH27" t="s">
        <v>152</v>
      </c>
    </row>
    <row r="28" spans="80:86">
      <c r="CB28" t="s">
        <v>152</v>
      </c>
      <c r="CE28" t="s">
        <v>152</v>
      </c>
      <c r="CG28" t="s">
        <v>152</v>
      </c>
      <c r="CH28" t="s">
        <v>152</v>
      </c>
    </row>
    <row r="29" spans="80:86">
      <c r="CB29" t="s">
        <v>152</v>
      </c>
      <c r="CE29" t="s">
        <v>152</v>
      </c>
      <c r="CG29" t="s">
        <v>152</v>
      </c>
      <c r="CH29" t="s">
        <v>152</v>
      </c>
    </row>
    <row r="30" spans="80:86">
      <c r="CB30" t="s">
        <v>152</v>
      </c>
      <c r="CE30" t="s">
        <v>152</v>
      </c>
      <c r="CG30" t="s">
        <v>152</v>
      </c>
      <c r="CH30" t="s">
        <v>152</v>
      </c>
    </row>
    <row r="31" spans="80:86">
      <c r="CB31" t="s">
        <v>152</v>
      </c>
      <c r="CE31" t="s">
        <v>152</v>
      </c>
      <c r="CG31" t="s">
        <v>152</v>
      </c>
      <c r="CH31" t="s">
        <v>152</v>
      </c>
    </row>
    <row r="32" spans="80:86">
      <c r="CB32" t="s">
        <v>152</v>
      </c>
      <c r="CE32" t="s">
        <v>152</v>
      </c>
      <c r="CG32" t="s">
        <v>152</v>
      </c>
      <c r="CH32" t="s">
        <v>152</v>
      </c>
    </row>
    <row r="33" spans="80:86">
      <c r="CB33" t="s">
        <v>152</v>
      </c>
      <c r="CE33" t="s">
        <v>152</v>
      </c>
      <c r="CG33" t="s">
        <v>152</v>
      </c>
      <c r="CH33" t="s">
        <v>152</v>
      </c>
    </row>
  </sheetData>
  <phoneticPr fontId="2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CB10:CH33"/>
  <sheetViews>
    <sheetView workbookViewId="0"/>
  </sheetViews>
  <sheetFormatPr defaultRowHeight="12.75"/>
  <sheetData>
    <row r="10" spans="80:86">
      <c r="CB10" t="s">
        <v>152</v>
      </c>
      <c r="CE10" t="s">
        <v>152</v>
      </c>
      <c r="CG10" t="s">
        <v>152</v>
      </c>
      <c r="CH10" t="s">
        <v>152</v>
      </c>
    </row>
    <row r="11" spans="80:86">
      <c r="CB11" t="s">
        <v>152</v>
      </c>
      <c r="CE11" t="s">
        <v>152</v>
      </c>
      <c r="CG11" t="s">
        <v>152</v>
      </c>
      <c r="CH11" t="s">
        <v>152</v>
      </c>
    </row>
    <row r="12" spans="80:86">
      <c r="CB12" t="s">
        <v>152</v>
      </c>
      <c r="CE12" t="s">
        <v>152</v>
      </c>
      <c r="CG12" t="s">
        <v>152</v>
      </c>
      <c r="CH12" t="s">
        <v>152</v>
      </c>
    </row>
    <row r="13" spans="80:86">
      <c r="CB13" t="s">
        <v>152</v>
      </c>
      <c r="CE13" t="s">
        <v>152</v>
      </c>
      <c r="CG13" t="s">
        <v>152</v>
      </c>
      <c r="CH13" t="s">
        <v>152</v>
      </c>
    </row>
    <row r="14" spans="80:86">
      <c r="CB14" t="s">
        <v>152</v>
      </c>
      <c r="CE14" t="s">
        <v>152</v>
      </c>
      <c r="CG14" t="s">
        <v>152</v>
      </c>
      <c r="CH14" t="s">
        <v>152</v>
      </c>
    </row>
    <row r="15" spans="80:86">
      <c r="CB15" t="s">
        <v>152</v>
      </c>
      <c r="CE15" t="s">
        <v>152</v>
      </c>
      <c r="CG15" t="s">
        <v>152</v>
      </c>
      <c r="CH15" t="s">
        <v>152</v>
      </c>
    </row>
    <row r="16" spans="80:86">
      <c r="CB16" t="s">
        <v>152</v>
      </c>
      <c r="CE16" t="s">
        <v>152</v>
      </c>
      <c r="CG16" t="s">
        <v>152</v>
      </c>
      <c r="CH16" t="s">
        <v>152</v>
      </c>
    </row>
    <row r="17" spans="80:86">
      <c r="CB17" t="s">
        <v>152</v>
      </c>
      <c r="CE17" t="s">
        <v>152</v>
      </c>
      <c r="CG17" t="s">
        <v>152</v>
      </c>
      <c r="CH17" t="s">
        <v>152</v>
      </c>
    </row>
    <row r="18" spans="80:86">
      <c r="CB18" t="s">
        <v>152</v>
      </c>
      <c r="CE18" t="s">
        <v>152</v>
      </c>
      <c r="CG18" t="s">
        <v>152</v>
      </c>
      <c r="CH18" t="s">
        <v>152</v>
      </c>
    </row>
    <row r="19" spans="80:86">
      <c r="CB19" t="s">
        <v>152</v>
      </c>
      <c r="CE19" t="s">
        <v>152</v>
      </c>
      <c r="CG19" t="s">
        <v>152</v>
      </c>
      <c r="CH19" t="s">
        <v>152</v>
      </c>
    </row>
    <row r="20" spans="80:86">
      <c r="CB20" t="s">
        <v>152</v>
      </c>
      <c r="CE20" t="s">
        <v>152</v>
      </c>
      <c r="CG20" t="s">
        <v>152</v>
      </c>
      <c r="CH20" t="s">
        <v>152</v>
      </c>
    </row>
    <row r="21" spans="80:86">
      <c r="CB21" t="s">
        <v>152</v>
      </c>
      <c r="CE21" t="s">
        <v>152</v>
      </c>
      <c r="CG21" t="s">
        <v>152</v>
      </c>
      <c r="CH21" t="s">
        <v>152</v>
      </c>
    </row>
    <row r="22" spans="80:86">
      <c r="CB22" t="s">
        <v>152</v>
      </c>
      <c r="CE22" t="s">
        <v>152</v>
      </c>
      <c r="CG22" t="s">
        <v>152</v>
      </c>
      <c r="CH22" t="s">
        <v>152</v>
      </c>
    </row>
    <row r="23" spans="80:86">
      <c r="CB23" t="s">
        <v>152</v>
      </c>
      <c r="CE23" t="s">
        <v>152</v>
      </c>
      <c r="CG23" t="s">
        <v>152</v>
      </c>
      <c r="CH23" t="s">
        <v>152</v>
      </c>
    </row>
    <row r="24" spans="80:86">
      <c r="CB24" t="s">
        <v>152</v>
      </c>
      <c r="CE24" t="s">
        <v>152</v>
      </c>
      <c r="CG24" t="s">
        <v>152</v>
      </c>
      <c r="CH24" t="s">
        <v>152</v>
      </c>
    </row>
    <row r="25" spans="80:86">
      <c r="CB25" t="s">
        <v>152</v>
      </c>
      <c r="CE25" t="s">
        <v>152</v>
      </c>
      <c r="CG25" t="s">
        <v>152</v>
      </c>
      <c r="CH25" t="s">
        <v>152</v>
      </c>
    </row>
    <row r="26" spans="80:86">
      <c r="CB26" t="s">
        <v>152</v>
      </c>
      <c r="CE26" t="s">
        <v>152</v>
      </c>
      <c r="CG26" t="s">
        <v>152</v>
      </c>
      <c r="CH26" t="s">
        <v>152</v>
      </c>
    </row>
    <row r="27" spans="80:86">
      <c r="CB27" t="s">
        <v>152</v>
      </c>
      <c r="CE27" t="s">
        <v>152</v>
      </c>
      <c r="CG27" t="s">
        <v>152</v>
      </c>
      <c r="CH27" t="s">
        <v>152</v>
      </c>
    </row>
    <row r="28" spans="80:86">
      <c r="CB28" t="s">
        <v>152</v>
      </c>
      <c r="CE28" t="s">
        <v>152</v>
      </c>
      <c r="CG28" t="s">
        <v>152</v>
      </c>
      <c r="CH28" t="s">
        <v>152</v>
      </c>
    </row>
    <row r="29" spans="80:86">
      <c r="CB29" t="s">
        <v>152</v>
      </c>
      <c r="CE29" t="s">
        <v>152</v>
      </c>
      <c r="CG29" t="s">
        <v>152</v>
      </c>
      <c r="CH29" t="s">
        <v>152</v>
      </c>
    </row>
    <row r="30" spans="80:86">
      <c r="CB30" t="s">
        <v>152</v>
      </c>
      <c r="CE30" t="s">
        <v>152</v>
      </c>
      <c r="CG30" t="s">
        <v>152</v>
      </c>
      <c r="CH30" t="s">
        <v>152</v>
      </c>
    </row>
    <row r="31" spans="80:86">
      <c r="CB31" t="s">
        <v>152</v>
      </c>
      <c r="CE31" t="s">
        <v>152</v>
      </c>
      <c r="CG31" t="s">
        <v>152</v>
      </c>
      <c r="CH31" t="s">
        <v>152</v>
      </c>
    </row>
    <row r="32" spans="80:86">
      <c r="CB32" t="s">
        <v>152</v>
      </c>
      <c r="CE32" t="s">
        <v>152</v>
      </c>
      <c r="CG32" t="s">
        <v>152</v>
      </c>
      <c r="CH32" t="s">
        <v>152</v>
      </c>
    </row>
    <row r="33" spans="80:86">
      <c r="CB33" t="s">
        <v>152</v>
      </c>
      <c r="CE33" t="s">
        <v>152</v>
      </c>
      <c r="CG33" t="s">
        <v>152</v>
      </c>
      <c r="CH33" t="s">
        <v>152</v>
      </c>
    </row>
  </sheetData>
  <phoneticPr fontId="2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4</vt:i4>
      </vt:variant>
    </vt:vector>
  </HeadingPairs>
  <TitlesOfParts>
    <vt:vector size="12" baseType="lpstr">
      <vt:lpstr>Farin Değirmenleri (Saatlik)</vt:lpstr>
      <vt:lpstr>Farin Değirmenleri (Günlük)</vt:lpstr>
      <vt:lpstr>Firin Girisi (Saatlik)</vt:lpstr>
      <vt:lpstr>Fırın Girişi (Günlük)</vt:lpstr>
      <vt:lpstr>Klinker (Saatlik)</vt:lpstr>
      <vt:lpstr>Klinker (Günlük)</vt:lpstr>
      <vt:lpstr>Sayfa2</vt:lpstr>
      <vt:lpstr>Sayfa3</vt:lpstr>
      <vt:lpstr>'Farin Değirmenleri (Günlük)'!Yazdırma_Alanı</vt:lpstr>
      <vt:lpstr>'Farin Değirmenleri (Saatlik)'!Yazdırma_Alanı</vt:lpstr>
      <vt:lpstr>'Klinker (Günlük)'!Yazdırma_Alanı</vt:lpstr>
      <vt:lpstr>'Klinker (Saatlik)'!Yazdırma_Alanı</vt:lpstr>
    </vt:vector>
  </TitlesOfParts>
  <Company>LAFARGE ASLAN CIMENTO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BAHADIR GOK</dc:creator>
  <cp:lastModifiedBy>DATA</cp:lastModifiedBy>
  <cp:lastPrinted>2016-08-22T10:09:23Z</cp:lastPrinted>
  <dcterms:created xsi:type="dcterms:W3CDTF">2005-08-16T06:21:36Z</dcterms:created>
  <dcterms:modified xsi:type="dcterms:W3CDTF">2019-10-08T06:53:32Z</dcterms:modified>
</cp:coreProperties>
</file>