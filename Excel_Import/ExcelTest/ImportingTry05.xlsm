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I\Excel_Import\ExcelTest\"/>
    </mc:Choice>
  </mc:AlternateContent>
  <xr:revisionPtr revIDLastSave="0" documentId="13_ncr:1_{50A4F6A7-9B20-4D21-8020-BE00288929B4}" xr6:coauthVersionLast="44" xr6:coauthVersionMax="44" xr10:uidLastSave="{00000000-0000-0000-0000-000000000000}"/>
  <bookViews>
    <workbookView xWindow="-108" yWindow="-108" windowWidth="23256" windowHeight="13176" tabRatio="629" firstSheet="1" activeTab="2" xr2:uid="{00000000-000D-0000-FFFF-FFFF00000000}"/>
  </bookViews>
  <sheets>
    <sheet name="PutVal_code" sheetId="6" state="veryHidden" r:id=""/>
    <sheet name="PutVal2" sheetId="8" r:id="rId1"/>
    <sheet name="PutVal" sheetId="7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6" i="8" l="1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G6" i="7" a="1"/>
  <c r="G6" i="7" s="1"/>
  <c r="G5" i="7" a="1"/>
  <c r="G5" i="7" s="1"/>
  <c r="G4" i="7" a="1"/>
  <c r="G4" i="7" s="1"/>
  <c r="G6" i="8" a="1"/>
  <c r="G6" i="8" s="1"/>
  <c r="G5" i="8" a="1"/>
  <c r="G5" i="8" s="1"/>
  <c r="G4" i="8" a="1"/>
  <c r="G4" i="8" s="1"/>
</calcChain>
</file>

<file path=xl/sharedStrings.xml><?xml version="1.0" encoding="utf-8"?>
<sst xmlns="http://schemas.openxmlformats.org/spreadsheetml/2006/main" count="176" uniqueCount="51">
  <si>
    <t>Value</t>
  </si>
  <si>
    <t>Input values</t>
  </si>
  <si>
    <t xml:space="preserve">Read back from PI </t>
  </si>
  <si>
    <t>Timestamp</t>
  </si>
  <si>
    <t>Results</t>
  </si>
  <si>
    <t>y</t>
  </si>
  <si>
    <t>excelreal</t>
  </si>
  <si>
    <t>excelint</t>
  </si>
  <si>
    <t>exceldig</t>
  </si>
  <si>
    <t>test1</t>
  </si>
  <si>
    <t>excelreal16</t>
  </si>
  <si>
    <t>Value written</t>
  </si>
  <si>
    <t>excelreal64</t>
  </si>
  <si>
    <t>excelint32</t>
  </si>
  <si>
    <t>excelstring</t>
  </si>
  <si>
    <t>test sub at 2:00.00.123</t>
  </si>
  <si>
    <t>Example of PIPutValX macro for different PI point types with single timestamp</t>
  </si>
  <si>
    <t>Example of PIPutVal macro for different PI point types with individal timestamp</t>
  </si>
  <si>
    <t>Data Item</t>
  </si>
  <si>
    <t>Root Path:</t>
  </si>
  <si>
    <t>Path</t>
  </si>
  <si>
    <t>Tag not found</t>
  </si>
  <si>
    <t>DATA_ARCHIVE</t>
  </si>
  <si>
    <t>*</t>
  </si>
  <si>
    <t>Real value written</t>
  </si>
  <si>
    <t>FARİN DEĞİRMENİ 1</t>
  </si>
  <si>
    <t>N</t>
  </si>
  <si>
    <t>Ortalama</t>
  </si>
  <si>
    <t>Min.</t>
  </si>
  <si>
    <t>Maks.</t>
  </si>
  <si>
    <t>SAAT</t>
  </si>
  <si>
    <t>Al2O3</t>
  </si>
  <si>
    <t>Fe2O3</t>
  </si>
  <si>
    <t>CaO</t>
  </si>
  <si>
    <t>MgO</t>
  </si>
  <si>
    <t>SO3</t>
  </si>
  <si>
    <t>Na2O</t>
  </si>
  <si>
    <t>K2O</t>
  </si>
  <si>
    <t>KLORÜR</t>
  </si>
  <si>
    <t>TOTAL</t>
  </si>
  <si>
    <t>LSF</t>
  </si>
  <si>
    <t>MS</t>
  </si>
  <si>
    <t>MA</t>
  </si>
  <si>
    <t>C3S</t>
  </si>
  <si>
    <t>200 µ</t>
  </si>
  <si>
    <t>90 µ</t>
  </si>
  <si>
    <t>RUTUBET</t>
  </si>
  <si>
    <t>KKTAGNAME</t>
  </si>
  <si>
    <t>SiO2TAGNAME</t>
  </si>
  <si>
    <t>Al2O3TAGNAME</t>
  </si>
  <si>
    <t>Fe2O3TAGNAME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</si>
</sst>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-mmm\-yy\ hh:mm:ss"/>
    <numFmt numFmtId="165" formatCode="#,##0.0000000"/>
    <numFmt numFmtId="166" formatCode="0.0000000"/>
    <numFmt numFmtId="167" formatCode="dd\-mmm\-yy\ hh:mm:ss.000"/>
    <numFmt numFmtId="168" formatCode="0.0000"/>
    <numFmt numFmtId="169" formatCode="0.0"/>
    <numFmt numFmtId="170" formatCode="dd/mm/yyyy;@"/>
  </numFmts>
  <fonts count="5" x14ac:knownFonts="1">
    <font>
      <sz val="10"/>
      <name val="Arial"/>
    </font>
    <font>
      <b/>
      <sz val="16"/>
      <name val="Verdana"/>
      <family val="2"/>
      <charset val="162"/>
    </font>
    <font>
      <sz val="9"/>
      <name val="Verdana"/>
      <family val="2"/>
      <charset val="162"/>
    </font>
    <font>
      <b/>
      <sz val="9"/>
      <name val="Verdana"/>
      <family val="2"/>
      <charset val="162"/>
    </font>
    <font>
      <sz val="10"/>
      <color rgb="FF000000"/>
      <name val="Arial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indexed="1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2"/>
      </left>
      <right style="thick">
        <color indexed="12"/>
      </right>
      <top style="thick">
        <color indexed="12"/>
      </top>
      <bottom style="thick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thin">
        <color rgb="FFFF0000"/>
      </right>
      <top style="dashed">
        <color rgb="FFFF0000"/>
      </top>
      <bottom style="dashed">
        <color rgb="FFFF0000"/>
      </bottom>
      <diagonal/>
    </border>
    <border>
      <left style="thin">
        <color rgb="FFFF0000"/>
      </left>
      <right style="dashed">
        <color rgb="FFFF0000"/>
      </right>
      <top style="dashed">
        <color rgb="FFFF0000"/>
      </top>
      <bottom style="thin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thin">
        <color rgb="FFFF0000"/>
      </bottom>
      <diagonal/>
    </border>
    <border>
      <left style="dashed">
        <color rgb="FFFF0000"/>
      </left>
      <right style="thin">
        <color rgb="FFFF0000"/>
      </right>
      <top style="dashed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ashed">
        <color rgb="FFFF0000"/>
      </bottom>
      <diagonal/>
    </border>
    <border>
      <left/>
      <right/>
      <top style="thin">
        <color rgb="FFFF0000"/>
      </top>
      <bottom style="dashed">
        <color rgb="FFFF0000"/>
      </bottom>
      <diagonal/>
    </border>
    <border>
      <left/>
      <right style="thin">
        <color rgb="FFFF0000"/>
      </right>
      <top style="thin">
        <color rgb="FFFF0000"/>
      </top>
      <bottom style="dashed">
        <color rgb="FFFF0000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/>
    <xf numFmtId="0" fontId="0" fillId="0" borderId="0" xfId="0" applyBorder="1"/>
    <xf numFmtId="0" fontId="0" fillId="0" borderId="3" xfId="0" applyBorder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2" borderId="6" xfId="0" applyFill="1" applyBorder="1"/>
    <xf numFmtId="0" fontId="2" fillId="0" borderId="0" xfId="0" applyNumberFormat="1" applyFont="1" applyFill="1" applyBorder="1" applyAlignment="1" applyProtection="1"/>
    <xf numFmtId="2" fontId="2" fillId="0" borderId="0" xfId="0" applyNumberFormat="1" applyFont="1" applyFill="1" applyBorder="1" applyAlignment="1" applyProtection="1"/>
    <xf numFmtId="168" fontId="2" fillId="0" borderId="0" xfId="0" applyNumberFormat="1" applyFont="1" applyFill="1" applyBorder="1" applyAlignment="1" applyProtection="1"/>
    <xf numFmtId="169" fontId="2" fillId="0" borderId="0" xfId="0" applyNumberFormat="1" applyFont="1" applyFill="1" applyBorder="1" applyAlignment="1" applyProtection="1"/>
    <xf numFmtId="1" fontId="2" fillId="0" borderId="0" xfId="0" applyNumberFormat="1" applyFont="1" applyFill="1" applyBorder="1" applyAlignment="1" applyProtection="1"/>
    <xf numFmtId="1" fontId="3" fillId="0" borderId="7" xfId="0" applyNumberFormat="1" applyFont="1" applyFill="1" applyBorder="1" applyAlignment="1" applyProtection="1">
      <alignment horizontal="center"/>
    </xf>
    <xf numFmtId="1" fontId="3" fillId="0" borderId="8" xfId="0" applyNumberFormat="1" applyFont="1" applyFill="1" applyBorder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70" fontId="3" fillId="0" borderId="7" xfId="0" applyNumberFormat="1" applyFont="1" applyFill="1" applyBorder="1" applyAlignment="1" applyProtection="1">
      <alignment horizontal="center"/>
    </xf>
    <xf numFmtId="2" fontId="3" fillId="0" borderId="8" xfId="0" applyNumberFormat="1" applyFont="1" applyFill="1" applyBorder="1" applyAlignment="1" applyProtection="1">
      <alignment horizontal="center"/>
    </xf>
    <xf numFmtId="168" fontId="3" fillId="0" borderId="8" xfId="0" applyNumberFormat="1" applyFont="1" applyFill="1" applyBorder="1" applyAlignment="1" applyProtection="1">
      <alignment horizontal="center"/>
    </xf>
    <xf numFmtId="169" fontId="3" fillId="0" borderId="8" xfId="0" applyNumberFormat="1" applyFont="1" applyFill="1" applyBorder="1" applyAlignment="1" applyProtection="1">
      <alignment horizontal="center"/>
    </xf>
    <xf numFmtId="2" fontId="3" fillId="0" borderId="0" xfId="0" applyNumberFormat="1" applyFont="1" applyFill="1" applyBorder="1" applyAlignment="1" applyProtection="1">
      <alignment horizontal="center"/>
    </xf>
    <xf numFmtId="170" fontId="3" fillId="0" borderId="7" xfId="0" applyNumberFormat="1" applyFont="1" applyFill="1" applyBorder="1" applyAlignment="1" applyProtection="1">
      <alignment horizontal="center" textRotation="90"/>
    </xf>
    <xf numFmtId="2" fontId="3" fillId="0" borderId="8" xfId="0" applyNumberFormat="1" applyFont="1" applyFill="1" applyBorder="1" applyAlignment="1" applyProtection="1">
      <alignment horizontal="center" textRotation="90"/>
    </xf>
    <xf numFmtId="168" fontId="3" fillId="0" borderId="8" xfId="0" applyNumberFormat="1" applyFont="1" applyFill="1" applyBorder="1" applyAlignment="1" applyProtection="1">
      <alignment horizontal="center" textRotation="90"/>
    </xf>
    <xf numFmtId="169" fontId="3" fillId="0" borderId="8" xfId="0" applyNumberFormat="1" applyFont="1" applyFill="1" applyBorder="1" applyAlignment="1" applyProtection="1">
      <alignment horizontal="center" textRotation="90"/>
    </xf>
    <xf numFmtId="2" fontId="3" fillId="0" borderId="9" xfId="0" applyNumberFormat="1" applyFont="1" applyFill="1" applyBorder="1" applyAlignment="1" applyProtection="1">
      <alignment horizontal="center" textRotation="90"/>
    </xf>
    <xf numFmtId="20" fontId="3" fillId="0" borderId="7" xfId="0" applyNumberFormat="1" applyFont="1" applyFill="1" applyBorder="1" applyAlignment="1" applyProtection="1">
      <alignment horizontal="center"/>
    </xf>
    <xf numFmtId="2" fontId="2" fillId="0" borderId="8" xfId="0" applyNumberFormat="1" applyFont="1" applyFill="1" applyBorder="1" applyAlignment="1" applyProtection="1"/>
    <xf numFmtId="168" fontId="2" fillId="0" borderId="8" xfId="0" applyNumberFormat="1" applyFont="1" applyFill="1" applyBorder="1" applyAlignment="1" applyProtection="1"/>
    <xf numFmtId="169" fontId="2" fillId="0" borderId="8" xfId="0" applyNumberFormat="1" applyFont="1" applyFill="1" applyBorder="1" applyAlignment="1" applyProtection="1"/>
    <xf numFmtId="2" fontId="2" fillId="0" borderId="9" xfId="0" applyNumberFormat="1" applyFont="1" applyFill="1" applyBorder="1" applyAlignment="1" applyProtection="1"/>
    <xf numFmtId="20" fontId="3" fillId="0" borderId="10" xfId="0" applyNumberFormat="1" applyFont="1" applyFill="1" applyBorder="1" applyAlignment="1" applyProtection="1">
      <alignment horizontal="center"/>
    </xf>
    <xf numFmtId="2" fontId="2" fillId="0" borderId="11" xfId="0" applyNumberFormat="1" applyFont="1" applyFill="1" applyBorder="1" applyAlignment="1" applyProtection="1"/>
    <xf numFmtId="168" fontId="2" fillId="0" borderId="11" xfId="0" applyNumberFormat="1" applyFont="1" applyFill="1" applyBorder="1" applyAlignment="1" applyProtection="1"/>
    <xf numFmtId="169" fontId="2" fillId="0" borderId="11" xfId="0" applyNumberFormat="1" applyFont="1" applyFill="1" applyBorder="1" applyAlignment="1" applyProtection="1"/>
    <xf numFmtId="2" fontId="2" fillId="0" borderId="12" xfId="0" applyNumberFormat="1" applyFont="1" applyFill="1" applyBorder="1" applyAlignment="1" applyProtection="1"/>
    <xf numFmtId="47" fontId="1" fillId="0" borderId="13" xfId="0" applyNumberFormat="1" applyFont="1" applyFill="1" applyBorder="1" applyAlignment="1" applyProtection="1">
      <alignment horizontal="center"/>
    </xf>
    <xf numFmtId="47" fontId="1" fillId="0" borderId="14" xfId="0" applyNumberFormat="1" applyFont="1" applyFill="1" applyBorder="1" applyAlignment="1" applyProtection="1">
      <alignment horizontal="center"/>
    </xf>
    <xf numFmtId="47" fontId="1" fillId="0" borderId="15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7</xdr:row>
          <xdr:rowOff>7620</xdr:rowOff>
        </xdr:from>
        <xdr:to>
          <xdr:col>2</xdr:col>
          <xdr:colOff>449580</xdr:colOff>
          <xdr:row>8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above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20</xdr:row>
          <xdr:rowOff>0</xdr:rowOff>
        </xdr:from>
        <xdr:to>
          <xdr:col>2</xdr:col>
          <xdr:colOff>472440</xdr:colOff>
          <xdr:row>21</xdr:row>
          <xdr:rowOff>7620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above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7</xdr:row>
          <xdr:rowOff>7620</xdr:rowOff>
        </xdr:from>
        <xdr:to>
          <xdr:col>2</xdr:col>
          <xdr:colOff>449580</xdr:colOff>
          <xdr:row>8</xdr:row>
          <xdr:rowOff>7620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above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20</xdr:row>
          <xdr:rowOff>0</xdr:rowOff>
        </xdr:from>
        <xdr:to>
          <xdr:col>2</xdr:col>
          <xdr:colOff>472440</xdr:colOff>
          <xdr:row>21</xdr:row>
          <xdr:rowOff>7620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above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AF34"/>
  <sheetViews>
    <sheetView workbookViewId="0">
      <selection activeCell="N8" sqref="N8"/>
    </sheetView>
  </sheetViews>
  <sheetFormatPr defaultRowHeight="13.2" x14ac:dyDescent="0.25"/>
  <cols>
    <col min="1" max="1" width="1.6640625" customWidth="1"/>
    <col min="2" max="2" width="21.44140625" customWidth="1"/>
    <col min="3" max="3" width="10" customWidth="1"/>
    <col min="4" max="4" width="17.6640625" customWidth="1"/>
    <col min="5" max="5" width="10.109375" customWidth="1"/>
    <col min="6" max="6" width="5.109375" customWidth="1"/>
    <col min="7" max="7" width="20.6640625" customWidth="1"/>
    <col min="31" max="31" width="15.5546875" bestFit="1" customWidth="1"/>
  </cols>
  <sheetData>
    <row r="1" spans="2:32" x14ac:dyDescent="0.25">
      <c r="B1" t="s">
        <v>17</v>
      </c>
    </row>
    <row r="2" spans="2:32" ht="19.8" x14ac:dyDescent="0.3">
      <c r="B2" s="4"/>
      <c r="C2" s="5" t="s">
        <v>1</v>
      </c>
      <c r="D2" s="5"/>
      <c r="E2" s="6"/>
      <c r="G2" s="13" t="s">
        <v>2</v>
      </c>
      <c r="J2" s="14"/>
      <c r="K2" s="42" t="s">
        <v>25</v>
      </c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4"/>
      <c r="AD2" s="14"/>
    </row>
    <row r="3" spans="2:32" ht="13.8" thickBot="1" x14ac:dyDescent="0.3">
      <c r="B3" s="3" t="s">
        <v>3</v>
      </c>
      <c r="C3" s="3" t="s">
        <v>18</v>
      </c>
      <c r="D3" s="3" t="s">
        <v>0</v>
      </c>
      <c r="E3" s="3" t="s">
        <v>4</v>
      </c>
      <c r="G3" s="3" t="s">
        <v>0</v>
      </c>
      <c r="J3" s="18"/>
      <c r="K3" s="19" t="s">
        <v>26</v>
      </c>
      <c r="L3" s="20">
        <f t="shared" ref="L3:AC3" si="0">COUNTIF(L8:L31,"&gt;0")</f>
        <v>6</v>
      </c>
      <c r="M3" s="20">
        <f t="shared" si="0"/>
        <v>6</v>
      </c>
      <c r="N3" s="20">
        <f t="shared" si="0"/>
        <v>0</v>
      </c>
      <c r="O3" s="20">
        <f t="shared" si="0"/>
        <v>3</v>
      </c>
      <c r="P3" s="20">
        <f t="shared" si="0"/>
        <v>0</v>
      </c>
      <c r="Q3" s="20">
        <f t="shared" si="0"/>
        <v>0</v>
      </c>
      <c r="R3" s="20">
        <f t="shared" si="0"/>
        <v>0</v>
      </c>
      <c r="S3" s="20">
        <f t="shared" si="0"/>
        <v>0</v>
      </c>
      <c r="T3" s="20">
        <f t="shared" si="0"/>
        <v>0</v>
      </c>
      <c r="U3" s="20">
        <f t="shared" si="0"/>
        <v>0</v>
      </c>
      <c r="V3" s="20">
        <f t="shared" si="0"/>
        <v>0</v>
      </c>
      <c r="W3" s="20">
        <f t="shared" si="0"/>
        <v>0</v>
      </c>
      <c r="X3" s="20">
        <f t="shared" si="0"/>
        <v>0</v>
      </c>
      <c r="Y3" s="20">
        <f t="shared" si="0"/>
        <v>0</v>
      </c>
      <c r="Z3" s="20">
        <f t="shared" si="0"/>
        <v>0</v>
      </c>
      <c r="AA3" s="20">
        <f t="shared" si="0"/>
        <v>0</v>
      </c>
      <c r="AB3" s="20">
        <f t="shared" si="0"/>
        <v>0</v>
      </c>
      <c r="AC3" s="20">
        <f t="shared" si="0"/>
        <v>0</v>
      </c>
      <c r="AD3" s="21"/>
    </row>
    <row r="4" spans="2:32" ht="13.8" thickTop="1" x14ac:dyDescent="0.25">
      <c r="B4" t="s">
        <v>23</v>
      </c>
      <c r="C4" t="s">
        <v>6</v>
      </c>
      <c r="D4">
        <v>78945</v>
      </c>
      <c r="E4" t="s">
        <v>24</v>
      </c>
      <c r="G4" t="e">
        <f t="array" aca="1" ref="G4" ca="1">_xll.PIArcVal($C$4,$B$4,0,"DATA_ARCHIVE","exact time")</f>
        <v>#NAME?</v>
      </c>
      <c r="J4" s="14"/>
      <c r="K4" s="22" t="s">
        <v>27</v>
      </c>
      <c r="L4" s="23">
        <f t="shared" ref="L4:AC4" si="1">AVERAGE(L8:L31)</f>
        <v>30.166666666666668</v>
      </c>
      <c r="M4" s="23">
        <f t="shared" si="1"/>
        <v>538.66666666666663</v>
      </c>
      <c r="N4" s="23" t="e">
        <f t="shared" si="1"/>
        <v>#DIV/0!</v>
      </c>
      <c r="O4" s="23">
        <f t="shared" si="1"/>
        <v>117</v>
      </c>
      <c r="P4" s="23" t="e">
        <f t="shared" si="1"/>
        <v>#DIV/0!</v>
      </c>
      <c r="Q4" s="23" t="e">
        <f t="shared" si="1"/>
        <v>#DIV/0!</v>
      </c>
      <c r="R4" s="23" t="e">
        <f t="shared" si="1"/>
        <v>#DIV/0!</v>
      </c>
      <c r="S4" s="23" t="e">
        <f t="shared" si="1"/>
        <v>#DIV/0!</v>
      </c>
      <c r="T4" s="23" t="e">
        <f t="shared" si="1"/>
        <v>#DIV/0!</v>
      </c>
      <c r="U4" s="24" t="e">
        <f t="shared" si="1"/>
        <v>#DIV/0!</v>
      </c>
      <c r="V4" s="23" t="e">
        <f t="shared" si="1"/>
        <v>#DIV/0!</v>
      </c>
      <c r="W4" s="23" t="e">
        <f t="shared" si="1"/>
        <v>#DIV/0!</v>
      </c>
      <c r="X4" s="23" t="e">
        <f t="shared" si="1"/>
        <v>#DIV/0!</v>
      </c>
      <c r="Y4" s="23" t="e">
        <f t="shared" si="1"/>
        <v>#DIV/0!</v>
      </c>
      <c r="Z4" s="23" t="e">
        <f t="shared" si="1"/>
        <v>#DIV/0!</v>
      </c>
      <c r="AA4" s="25" t="e">
        <f t="shared" si="1"/>
        <v>#DIV/0!</v>
      </c>
      <c r="AB4" s="25" t="e">
        <f t="shared" si="1"/>
        <v>#DIV/0!</v>
      </c>
      <c r="AC4" s="23" t="e">
        <f t="shared" si="1"/>
        <v>#DIV/0!</v>
      </c>
      <c r="AD4" s="26"/>
    </row>
    <row r="5" spans="2:32" x14ac:dyDescent="0.25">
      <c r="B5" t="s">
        <v>5</v>
      </c>
      <c r="C5" t="s">
        <v>7</v>
      </c>
      <c r="D5">
        <v>5.9</v>
      </c>
      <c r="E5" t="s">
        <v>21</v>
      </c>
      <c r="G5" t="e">
        <f t="array" aca="1" ref="G5" ca="1">_xll.PIArcVal($C$5,$B$5,0,"DATA_ARCHIVE","exact time")</f>
        <v>#NAME?</v>
      </c>
      <c r="J5" s="14"/>
      <c r="K5" s="22" t="s">
        <v>28</v>
      </c>
      <c r="L5" s="23">
        <f t="shared" ref="L5:AC5" si="2">MIN(L8:L31)</f>
        <v>2</v>
      </c>
      <c r="M5" s="23">
        <f t="shared" si="2"/>
        <v>7</v>
      </c>
      <c r="N5" s="23">
        <f t="shared" si="2"/>
        <v>0</v>
      </c>
      <c r="O5" s="23">
        <f t="shared" si="2"/>
        <v>4</v>
      </c>
      <c r="P5" s="23">
        <f t="shared" si="2"/>
        <v>0</v>
      </c>
      <c r="Q5" s="23">
        <f t="shared" si="2"/>
        <v>0</v>
      </c>
      <c r="R5" s="23">
        <f t="shared" si="2"/>
        <v>0</v>
      </c>
      <c r="S5" s="23">
        <f t="shared" si="2"/>
        <v>0</v>
      </c>
      <c r="T5" s="23">
        <f t="shared" si="2"/>
        <v>0</v>
      </c>
      <c r="U5" s="24">
        <f t="shared" si="2"/>
        <v>0</v>
      </c>
      <c r="V5" s="23">
        <f t="shared" si="2"/>
        <v>0</v>
      </c>
      <c r="W5" s="23">
        <f t="shared" si="2"/>
        <v>0</v>
      </c>
      <c r="X5" s="23">
        <f t="shared" si="2"/>
        <v>0</v>
      </c>
      <c r="Y5" s="23">
        <f t="shared" si="2"/>
        <v>0</v>
      </c>
      <c r="Z5" s="23">
        <f t="shared" si="2"/>
        <v>0</v>
      </c>
      <c r="AA5" s="25">
        <f t="shared" si="2"/>
        <v>0</v>
      </c>
      <c r="AB5" s="25">
        <f t="shared" si="2"/>
        <v>0</v>
      </c>
      <c r="AC5" s="23">
        <f t="shared" si="2"/>
        <v>0</v>
      </c>
      <c r="AD5" s="26"/>
    </row>
    <row r="6" spans="2:32" x14ac:dyDescent="0.25">
      <c r="B6" t="s">
        <v>5</v>
      </c>
      <c r="C6" t="s">
        <v>8</v>
      </c>
      <c r="D6" t="s">
        <v>9</v>
      </c>
      <c r="E6" t="s">
        <v>21</v>
      </c>
      <c r="G6" s="2" t="e">
        <f t="array" aca="1" ref="G6" ca="1">_xll.PIArcVal(PutVal2!$C$6,PutVal2!$B$6,0,"DATA_ARCHIVE","exact time")</f>
        <v>#NAME?</v>
      </c>
      <c r="J6" s="14"/>
      <c r="K6" s="22" t="s">
        <v>29</v>
      </c>
      <c r="L6" s="23">
        <f t="shared" ref="L6:AC6" si="3">MAX(L8:L31)</f>
        <v>89</v>
      </c>
      <c r="M6" s="23">
        <f t="shared" si="3"/>
        <v>2345</v>
      </c>
      <c r="N6" s="23">
        <f t="shared" si="3"/>
        <v>0</v>
      </c>
      <c r="O6" s="23">
        <f t="shared" si="3"/>
        <v>342</v>
      </c>
      <c r="P6" s="23">
        <f t="shared" si="3"/>
        <v>0</v>
      </c>
      <c r="Q6" s="23">
        <f t="shared" si="3"/>
        <v>0</v>
      </c>
      <c r="R6" s="23">
        <f t="shared" si="3"/>
        <v>0</v>
      </c>
      <c r="S6" s="23">
        <f t="shared" si="3"/>
        <v>0</v>
      </c>
      <c r="T6" s="23">
        <f t="shared" si="3"/>
        <v>0</v>
      </c>
      <c r="U6" s="24">
        <f t="shared" si="3"/>
        <v>0</v>
      </c>
      <c r="V6" s="23">
        <f t="shared" si="3"/>
        <v>0</v>
      </c>
      <c r="W6" s="23">
        <f t="shared" si="3"/>
        <v>0</v>
      </c>
      <c r="X6" s="23">
        <f t="shared" si="3"/>
        <v>0</v>
      </c>
      <c r="Y6" s="23">
        <f t="shared" si="3"/>
        <v>0</v>
      </c>
      <c r="Z6" s="23">
        <f t="shared" si="3"/>
        <v>0</v>
      </c>
      <c r="AA6" s="25">
        <f t="shared" si="3"/>
        <v>0</v>
      </c>
      <c r="AB6" s="25">
        <f t="shared" si="3"/>
        <v>0</v>
      </c>
      <c r="AC6" s="23">
        <f t="shared" si="3"/>
        <v>0</v>
      </c>
      <c r="AD6" s="26"/>
    </row>
    <row r="7" spans="2:32" ht="78.599999999999994" thickBot="1" x14ac:dyDescent="0.3">
      <c r="J7" s="14"/>
      <c r="K7" s="27" t="s">
        <v>30</v>
      </c>
      <c r="L7" s="28" t="s">
        <v>47</v>
      </c>
      <c r="M7" s="28" t="s">
        <v>48</v>
      </c>
      <c r="N7" s="28" t="s">
        <v>31</v>
      </c>
      <c r="O7" s="28" t="s">
        <v>32</v>
      </c>
      <c r="P7" s="28" t="s">
        <v>33</v>
      </c>
      <c r="Q7" s="28" t="s">
        <v>34</v>
      </c>
      <c r="R7" s="28" t="s">
        <v>35</v>
      </c>
      <c r="S7" s="28" t="s">
        <v>36</v>
      </c>
      <c r="T7" s="28" t="s">
        <v>37</v>
      </c>
      <c r="U7" s="29" t="s">
        <v>38</v>
      </c>
      <c r="V7" s="28" t="s">
        <v>39</v>
      </c>
      <c r="W7" s="28" t="s">
        <v>40</v>
      </c>
      <c r="X7" s="28" t="s">
        <v>41</v>
      </c>
      <c r="Y7" s="28" t="s">
        <v>42</v>
      </c>
      <c r="Z7" s="28" t="s">
        <v>43</v>
      </c>
      <c r="AA7" s="30" t="s">
        <v>44</v>
      </c>
      <c r="AB7" s="30" t="s">
        <v>45</v>
      </c>
      <c r="AC7" s="31" t="s">
        <v>46</v>
      </c>
      <c r="AD7" s="14"/>
    </row>
    <row r="8" spans="2:32" ht="14.4" thickTop="1" thickBot="1" x14ac:dyDescent="0.3">
      <c r="D8" s="8" t="s">
        <v>19</v>
      </c>
      <c r="E8" s="7" t="s">
        <v>22</v>
      </c>
      <c r="J8" s="14"/>
      <c r="K8" s="32">
        <v>4.1666666666666664E-2</v>
      </c>
      <c r="L8" s="33">
        <v>2</v>
      </c>
      <c r="M8" s="33">
        <v>2345</v>
      </c>
      <c r="N8" s="33"/>
      <c r="O8" s="33">
        <v>4</v>
      </c>
      <c r="P8" s="33"/>
      <c r="Q8" s="33"/>
      <c r="R8" s="33"/>
      <c r="S8" s="33"/>
      <c r="T8" s="33"/>
      <c r="U8" s="34"/>
      <c r="V8" s="33"/>
      <c r="W8" s="33"/>
      <c r="X8" s="33"/>
      <c r="Y8" s="33"/>
      <c r="Z8" s="33"/>
      <c r="AA8" s="35"/>
      <c r="AB8" s="35"/>
      <c r="AC8" s="36"/>
      <c r="AD8" s="14"/>
      <c r="AE8" t="s">
        <v>24</v>
      </c>
      <c r="AF8" t="s">
        <v>24</v>
      </c>
    </row>
    <row r="9" spans="2:32" ht="13.8" thickTop="1" x14ac:dyDescent="0.25">
      <c r="J9" s="14"/>
      <c r="K9" s="32">
        <v>8.333333334303461E-2</v>
      </c>
      <c r="L9" s="33">
        <v>56</v>
      </c>
      <c r="M9" s="33">
        <v>7</v>
      </c>
      <c r="N9" s="33"/>
      <c r="O9" s="33">
        <v>5</v>
      </c>
      <c r="P9" s="33"/>
      <c r="Q9" s="33"/>
      <c r="R9" s="33"/>
      <c r="S9" s="33"/>
      <c r="T9" s="33"/>
      <c r="U9" s="34"/>
      <c r="V9" s="33"/>
      <c r="W9" s="33"/>
      <c r="X9" s="33"/>
      <c r="Y9" s="33"/>
      <c r="Z9" s="33"/>
      <c r="AA9" s="35"/>
      <c r="AB9" s="35"/>
      <c r="AC9" s="36"/>
      <c r="AD9" s="14"/>
      <c r="AE9" t="s">
        <v>24</v>
      </c>
      <c r="AF9" t="s">
        <v>24</v>
      </c>
    </row>
    <row r="10" spans="2:32" x14ac:dyDescent="0.25">
      <c r="J10" s="14"/>
      <c r="K10" s="32">
        <v>0.125</v>
      </c>
      <c r="L10" s="33">
        <v>89</v>
      </c>
      <c r="M10" s="33">
        <v>345</v>
      </c>
      <c r="N10" s="33"/>
      <c r="O10" s="33">
        <v>342</v>
      </c>
      <c r="P10" s="33"/>
      <c r="Q10" s="33"/>
      <c r="R10" s="33"/>
      <c r="S10" s="33"/>
      <c r="T10" s="33"/>
      <c r="U10" s="34"/>
      <c r="V10" s="33"/>
      <c r="W10" s="33"/>
      <c r="X10" s="33"/>
      <c r="Y10" s="33"/>
      <c r="Z10" s="33"/>
      <c r="AA10" s="35"/>
      <c r="AB10" s="35"/>
      <c r="AC10" s="36"/>
      <c r="AD10" s="14"/>
      <c r="AE10" t="s">
        <v>24</v>
      </c>
      <c r="AF10" t="s">
        <v>24</v>
      </c>
    </row>
    <row r="11" spans="2:32" x14ac:dyDescent="0.25">
      <c r="B11" t="s">
        <v>16</v>
      </c>
      <c r="J11" s="14"/>
      <c r="K11" s="32">
        <v>0.16666666665696539</v>
      </c>
      <c r="L11" s="33">
        <v>4</v>
      </c>
      <c r="M11" s="33">
        <v>456</v>
      </c>
      <c r="N11" s="33"/>
      <c r="O11" s="33"/>
      <c r="P11" s="33"/>
      <c r="Q11" s="33"/>
      <c r="R11" s="33"/>
      <c r="S11" s="33"/>
      <c r="T11" s="33"/>
      <c r="U11" s="34"/>
      <c r="V11" s="33"/>
      <c r="W11" s="33"/>
      <c r="X11" s="33"/>
      <c r="Y11" s="33"/>
      <c r="Z11" s="33"/>
      <c r="AA11" s="35"/>
      <c r="AB11" s="35"/>
      <c r="AC11" s="36"/>
      <c r="AD11" s="14"/>
      <c r="AE11" t="s">
        <v>24</v>
      </c>
      <c r="AF11" t="s">
        <v>24</v>
      </c>
    </row>
    <row r="12" spans="2:32" x14ac:dyDescent="0.25">
      <c r="B12" s="4"/>
      <c r="C12" s="9"/>
      <c r="D12" s="5" t="s">
        <v>1</v>
      </c>
      <c r="E12" s="6"/>
      <c r="G12" s="13" t="s">
        <v>2</v>
      </c>
      <c r="J12" s="14"/>
      <c r="K12" s="32">
        <v>0.20833333334303461</v>
      </c>
      <c r="L12" s="33">
        <v>5</v>
      </c>
      <c r="M12" s="33">
        <v>34</v>
      </c>
      <c r="N12" s="33"/>
      <c r="O12" s="33"/>
      <c r="P12" s="33"/>
      <c r="Q12" s="33"/>
      <c r="R12" s="33"/>
      <c r="S12" s="33"/>
      <c r="T12" s="33"/>
      <c r="U12" s="34"/>
      <c r="V12" s="33"/>
      <c r="W12" s="33"/>
      <c r="X12" s="33"/>
      <c r="Y12" s="33"/>
      <c r="Z12" s="33"/>
      <c r="AA12" s="35"/>
      <c r="AB12" s="35"/>
      <c r="AC12" s="36"/>
      <c r="AD12" s="14"/>
      <c r="AE12" t="s">
        <v>24</v>
      </c>
      <c r="AF12" t="s">
        <v>24</v>
      </c>
    </row>
    <row r="13" spans="2:32" ht="13.8" thickBot="1" x14ac:dyDescent="0.3">
      <c r="B13" s="3" t="s">
        <v>3</v>
      </c>
      <c r="C13" s="3" t="s">
        <v>18</v>
      </c>
      <c r="D13" s="3" t="s">
        <v>0</v>
      </c>
      <c r="E13" s="3" t="s">
        <v>4</v>
      </c>
      <c r="G13" s="3" t="s">
        <v>0</v>
      </c>
      <c r="J13" s="14"/>
      <c r="K13" s="32">
        <v>0.25</v>
      </c>
      <c r="L13" s="33">
        <v>25</v>
      </c>
      <c r="M13" s="33">
        <v>45</v>
      </c>
      <c r="N13" s="33"/>
      <c r="O13" s="33"/>
      <c r="P13" s="33"/>
      <c r="Q13" s="33"/>
      <c r="R13" s="33"/>
      <c r="S13" s="33"/>
      <c r="T13" s="33"/>
      <c r="U13" s="34"/>
      <c r="V13" s="33"/>
      <c r="W13" s="33"/>
      <c r="X13" s="33"/>
      <c r="Y13" s="33"/>
      <c r="Z13" s="33"/>
      <c r="AA13" s="35"/>
      <c r="AB13" s="35"/>
      <c r="AC13" s="36"/>
      <c r="AD13" s="14"/>
      <c r="AE13" t="s">
        <v>24</v>
      </c>
      <c r="AF13" t="s">
        <v>24</v>
      </c>
    </row>
    <row r="14" spans="2:32" ht="13.8" thickTop="1" x14ac:dyDescent="0.25">
      <c r="B14" s="12">
        <v>35873.083334756942</v>
      </c>
      <c r="C14" t="s">
        <v>10</v>
      </c>
      <c r="D14" s="2">
        <v>16</v>
      </c>
      <c r="E14" t="s">
        <v>11</v>
      </c>
      <c r="G14" s="2"/>
      <c r="J14" s="14"/>
      <c r="K14" s="32">
        <v>0.29166666665696539</v>
      </c>
      <c r="L14" s="33"/>
      <c r="M14" s="33"/>
      <c r="N14" s="33"/>
      <c r="O14" s="33"/>
      <c r="P14" s="33"/>
      <c r="Q14" s="33"/>
      <c r="R14" s="33"/>
      <c r="S14" s="33"/>
      <c r="T14" s="33"/>
      <c r="U14" s="34"/>
      <c r="V14" s="33"/>
      <c r="W14" s="33"/>
      <c r="X14" s="33"/>
      <c r="Y14" s="33"/>
      <c r="Z14" s="33"/>
      <c r="AA14" s="35"/>
      <c r="AB14" s="35"/>
      <c r="AC14" s="36"/>
      <c r="AD14" s="14"/>
      <c r="AE14" t="s">
        <v>24</v>
      </c>
      <c r="AF14" t="s">
        <v>24</v>
      </c>
    </row>
    <row r="15" spans="2:32" x14ac:dyDescent="0.25">
      <c r="B15" s="12"/>
      <c r="C15" t="s">
        <v>7</v>
      </c>
      <c r="D15" s="2">
        <v>12</v>
      </c>
      <c r="E15" t="s">
        <v>11</v>
      </c>
      <c r="G15" s="2"/>
      <c r="J15" s="14"/>
      <c r="K15" s="32">
        <v>0.33333333334303461</v>
      </c>
      <c r="L15" s="33"/>
      <c r="M15" s="33"/>
      <c r="N15" s="33"/>
      <c r="O15" s="33"/>
      <c r="P15" s="33"/>
      <c r="Q15" s="33"/>
      <c r="R15" s="33"/>
      <c r="S15" s="33"/>
      <c r="T15" s="33"/>
      <c r="U15" s="34"/>
      <c r="V15" s="33"/>
      <c r="W15" s="33"/>
      <c r="X15" s="33"/>
      <c r="Y15" s="33"/>
      <c r="Z15" s="33"/>
      <c r="AA15" s="35"/>
      <c r="AB15" s="35"/>
      <c r="AC15" s="36"/>
      <c r="AD15" s="14"/>
    </row>
    <row r="16" spans="2:32" x14ac:dyDescent="0.25">
      <c r="C16" t="s">
        <v>12</v>
      </c>
      <c r="D16" s="2">
        <v>234</v>
      </c>
      <c r="E16" t="s">
        <v>11</v>
      </c>
      <c r="G16" s="2"/>
      <c r="J16" s="14"/>
      <c r="K16" s="32">
        <v>0.375</v>
      </c>
      <c r="L16" s="33"/>
      <c r="M16" s="33"/>
      <c r="N16" s="33"/>
      <c r="O16" s="33"/>
      <c r="P16" s="33"/>
      <c r="Q16" s="33"/>
      <c r="R16" s="33"/>
      <c r="S16" s="33"/>
      <c r="T16" s="33"/>
      <c r="U16" s="34"/>
      <c r="V16" s="33"/>
      <c r="W16" s="33"/>
      <c r="X16" s="33"/>
      <c r="Y16" s="33"/>
      <c r="Z16" s="33"/>
      <c r="AA16" s="35"/>
      <c r="AB16" s="35"/>
      <c r="AC16" s="36"/>
      <c r="AD16" s="14"/>
    </row>
    <row r="17" spans="3:30" x14ac:dyDescent="0.25">
      <c r="C17" t="s">
        <v>8</v>
      </c>
      <c r="D17" s="2">
        <v>5</v>
      </c>
      <c r="E17" t="s">
        <v>11</v>
      </c>
      <c r="G17" s="2"/>
      <c r="J17" s="14"/>
      <c r="K17" s="32">
        <v>0.41666666665696539</v>
      </c>
      <c r="L17" s="33"/>
      <c r="M17" s="33"/>
      <c r="N17" s="33"/>
      <c r="O17" s="33"/>
      <c r="P17" s="33"/>
      <c r="Q17" s="33"/>
      <c r="R17" s="33"/>
      <c r="S17" s="33"/>
      <c r="T17" s="33"/>
      <c r="U17" s="34"/>
      <c r="V17" s="33"/>
      <c r="W17" s="33"/>
      <c r="X17" s="33"/>
      <c r="Y17" s="33"/>
      <c r="Z17" s="33"/>
      <c r="AA17" s="35"/>
      <c r="AB17" s="35"/>
      <c r="AC17" s="36"/>
      <c r="AD17" s="14"/>
    </row>
    <row r="18" spans="3:30" x14ac:dyDescent="0.25">
      <c r="C18" t="s">
        <v>13</v>
      </c>
      <c r="D18" s="2">
        <v>-2</v>
      </c>
      <c r="E18" t="s">
        <v>11</v>
      </c>
      <c r="G18" s="11"/>
      <c r="J18" s="14"/>
      <c r="K18" s="32">
        <v>0.45833333334303461</v>
      </c>
      <c r="L18" s="33"/>
      <c r="M18" s="33"/>
      <c r="N18" s="33"/>
      <c r="O18" s="33"/>
      <c r="P18" s="33"/>
      <c r="Q18" s="33"/>
      <c r="R18" s="33"/>
      <c r="S18" s="33"/>
      <c r="T18" s="33"/>
      <c r="U18" s="34"/>
      <c r="V18" s="33"/>
      <c r="W18" s="33"/>
      <c r="X18" s="33"/>
      <c r="Y18" s="33"/>
      <c r="Z18" s="33"/>
      <c r="AA18" s="35"/>
      <c r="AB18" s="35"/>
      <c r="AC18" s="36"/>
      <c r="AD18" s="14"/>
    </row>
    <row r="19" spans="3:30" x14ac:dyDescent="0.25">
      <c r="C19" t="s">
        <v>14</v>
      </c>
      <c r="D19" s="10" t="s">
        <v>15</v>
      </c>
      <c r="E19" t="s">
        <v>11</v>
      </c>
      <c r="G19" s="2"/>
      <c r="J19" s="14"/>
      <c r="K19" s="32">
        <v>0.5</v>
      </c>
      <c r="L19" s="33"/>
      <c r="M19" s="33"/>
      <c r="N19" s="33"/>
      <c r="O19" s="33"/>
      <c r="P19" s="33"/>
      <c r="Q19" s="33"/>
      <c r="R19" s="33"/>
      <c r="S19" s="33"/>
      <c r="T19" s="33"/>
      <c r="U19" s="34"/>
      <c r="V19" s="33"/>
      <c r="W19" s="33"/>
      <c r="X19" s="33"/>
      <c r="Y19" s="33"/>
      <c r="Z19" s="33"/>
      <c r="AA19" s="35"/>
      <c r="AB19" s="35"/>
      <c r="AC19" s="36"/>
      <c r="AD19" s="14"/>
    </row>
    <row r="20" spans="3:30" ht="13.8" thickBot="1" x14ac:dyDescent="0.3">
      <c r="J20" s="14"/>
      <c r="K20" s="32">
        <v>0.54166666665696539</v>
      </c>
      <c r="L20" s="33"/>
      <c r="M20" s="33"/>
      <c r="N20" s="33"/>
      <c r="O20" s="33"/>
      <c r="P20" s="33"/>
      <c r="Q20" s="33"/>
      <c r="R20" s="33"/>
      <c r="S20" s="33"/>
      <c r="T20" s="33"/>
      <c r="U20" s="34"/>
      <c r="V20" s="33"/>
      <c r="W20" s="33"/>
      <c r="X20" s="33"/>
      <c r="Y20" s="33"/>
      <c r="Z20" s="33"/>
      <c r="AA20" s="35"/>
      <c r="AB20" s="35"/>
      <c r="AC20" s="36"/>
      <c r="AD20" s="14"/>
    </row>
    <row r="21" spans="3:30" ht="14.4" thickTop="1" thickBot="1" x14ac:dyDescent="0.3">
      <c r="D21" s="8" t="s">
        <v>19</v>
      </c>
      <c r="E21" s="7" t="s">
        <v>20</v>
      </c>
      <c r="G21" s="2"/>
      <c r="J21" s="14"/>
      <c r="K21" s="32">
        <v>0.58333333334303461</v>
      </c>
      <c r="L21" s="33"/>
      <c r="M21" s="33"/>
      <c r="N21" s="33"/>
      <c r="O21" s="33"/>
      <c r="P21" s="33"/>
      <c r="Q21" s="33"/>
      <c r="R21" s="33"/>
      <c r="S21" s="33"/>
      <c r="T21" s="33"/>
      <c r="U21" s="34"/>
      <c r="V21" s="33"/>
      <c r="W21" s="33"/>
      <c r="X21" s="33"/>
      <c r="Y21" s="33"/>
      <c r="Z21" s="33"/>
      <c r="AA21" s="35"/>
      <c r="AB21" s="35"/>
      <c r="AC21" s="36"/>
      <c r="AD21" s="14"/>
    </row>
    <row r="22" spans="3:30" ht="13.8" thickTop="1" x14ac:dyDescent="0.25">
      <c r="G22" s="2"/>
      <c r="J22" s="14"/>
      <c r="K22" s="32">
        <v>0.625</v>
      </c>
      <c r="L22" s="33"/>
      <c r="M22" s="33"/>
      <c r="N22" s="33"/>
      <c r="O22" s="33"/>
      <c r="P22" s="33"/>
      <c r="Q22" s="33"/>
      <c r="R22" s="33"/>
      <c r="S22" s="33"/>
      <c r="T22" s="33"/>
      <c r="U22" s="34"/>
      <c r="V22" s="33"/>
      <c r="W22" s="33"/>
      <c r="X22" s="33"/>
      <c r="Y22" s="33"/>
      <c r="Z22" s="33"/>
      <c r="AA22" s="35"/>
      <c r="AB22" s="35"/>
      <c r="AC22" s="36"/>
      <c r="AD22" s="14"/>
    </row>
    <row r="23" spans="3:30" x14ac:dyDescent="0.25">
      <c r="G23" s="1"/>
      <c r="J23" s="14"/>
      <c r="K23" s="32">
        <v>0.66666666665696539</v>
      </c>
      <c r="L23" s="33"/>
      <c r="M23" s="33"/>
      <c r="N23" s="33"/>
      <c r="O23" s="33"/>
      <c r="P23" s="33"/>
      <c r="Q23" s="33"/>
      <c r="R23" s="33"/>
      <c r="S23" s="33"/>
      <c r="T23" s="33"/>
      <c r="U23" s="34"/>
      <c r="V23" s="33"/>
      <c r="W23" s="33"/>
      <c r="X23" s="33"/>
      <c r="Y23" s="33"/>
      <c r="Z23" s="33"/>
      <c r="AA23" s="35"/>
      <c r="AB23" s="35"/>
      <c r="AC23" s="36"/>
      <c r="AD23" s="14"/>
    </row>
    <row r="24" spans="3:30" x14ac:dyDescent="0.25">
      <c r="G24" s="1"/>
      <c r="J24" s="14"/>
      <c r="K24" s="32">
        <v>0.70833333334303461</v>
      </c>
      <c r="L24" s="33"/>
      <c r="M24" s="33"/>
      <c r="N24" s="33"/>
      <c r="O24" s="33"/>
      <c r="P24" s="33"/>
      <c r="Q24" s="33"/>
      <c r="R24" s="33"/>
      <c r="S24" s="33"/>
      <c r="T24" s="33"/>
      <c r="U24" s="34"/>
      <c r="V24" s="33"/>
      <c r="W24" s="33"/>
      <c r="X24" s="33"/>
      <c r="Y24" s="33"/>
      <c r="Z24" s="33"/>
      <c r="AA24" s="35"/>
      <c r="AB24" s="35"/>
      <c r="AC24" s="36"/>
      <c r="AD24" s="14"/>
    </row>
    <row r="25" spans="3:30" x14ac:dyDescent="0.25">
      <c r="G25" s="1"/>
      <c r="J25" s="14"/>
      <c r="K25" s="32">
        <v>0.75</v>
      </c>
      <c r="L25" s="33"/>
      <c r="M25" s="33"/>
      <c r="N25" s="33"/>
      <c r="O25" s="33"/>
      <c r="P25" s="33"/>
      <c r="Q25" s="33"/>
      <c r="R25" s="33"/>
      <c r="S25" s="33"/>
      <c r="T25" s="33"/>
      <c r="U25" s="34"/>
      <c r="V25" s="33"/>
      <c r="W25" s="33"/>
      <c r="X25" s="33"/>
      <c r="Y25" s="33"/>
      <c r="Z25" s="33"/>
      <c r="AA25" s="35"/>
      <c r="AB25" s="35"/>
      <c r="AC25" s="36"/>
      <c r="AD25" s="14"/>
    </row>
    <row r="26" spans="3:30" x14ac:dyDescent="0.25">
      <c r="G26" s="1"/>
      <c r="J26" s="14"/>
      <c r="K26" s="32">
        <v>0.79166666665696539</v>
      </c>
      <c r="L26" s="33"/>
      <c r="M26" s="33"/>
      <c r="N26" s="33"/>
      <c r="O26" s="33"/>
      <c r="P26" s="33"/>
      <c r="Q26" s="33"/>
      <c r="R26" s="33"/>
      <c r="S26" s="33"/>
      <c r="T26" s="33"/>
      <c r="U26" s="34"/>
      <c r="V26" s="33"/>
      <c r="W26" s="33"/>
      <c r="X26" s="33"/>
      <c r="Y26" s="33"/>
      <c r="Z26" s="33"/>
      <c r="AA26" s="35"/>
      <c r="AB26" s="35"/>
      <c r="AC26" s="36"/>
      <c r="AD26" s="14"/>
    </row>
    <row r="27" spans="3:30" x14ac:dyDescent="0.25">
      <c r="J27" s="14"/>
      <c r="K27" s="32">
        <v>0.83333333334303461</v>
      </c>
      <c r="L27" s="33"/>
      <c r="M27" s="33"/>
      <c r="N27" s="33"/>
      <c r="O27" s="33"/>
      <c r="P27" s="33"/>
      <c r="Q27" s="33"/>
      <c r="R27" s="33"/>
      <c r="S27" s="33"/>
      <c r="T27" s="33"/>
      <c r="U27" s="34"/>
      <c r="V27" s="33"/>
      <c r="W27" s="33"/>
      <c r="X27" s="33"/>
      <c r="Y27" s="33"/>
      <c r="Z27" s="33"/>
      <c r="AA27" s="35"/>
      <c r="AB27" s="35"/>
      <c r="AC27" s="36"/>
      <c r="AD27" s="14"/>
    </row>
    <row r="28" spans="3:30" x14ac:dyDescent="0.25">
      <c r="J28" s="14"/>
      <c r="K28" s="32">
        <v>0.875</v>
      </c>
      <c r="L28" s="33"/>
      <c r="M28" s="33"/>
      <c r="N28" s="33"/>
      <c r="O28" s="33"/>
      <c r="P28" s="33"/>
      <c r="Q28" s="33"/>
      <c r="R28" s="33"/>
      <c r="S28" s="33"/>
      <c r="T28" s="33"/>
      <c r="U28" s="34"/>
      <c r="V28" s="33"/>
      <c r="W28" s="33"/>
      <c r="X28" s="33"/>
      <c r="Y28" s="33"/>
      <c r="Z28" s="33"/>
      <c r="AA28" s="35"/>
      <c r="AB28" s="35"/>
      <c r="AC28" s="36"/>
      <c r="AD28" s="14"/>
    </row>
    <row r="29" spans="3:30" x14ac:dyDescent="0.25">
      <c r="J29" s="14"/>
      <c r="K29" s="32">
        <v>0.91666666665696539</v>
      </c>
      <c r="L29" s="33"/>
      <c r="M29" s="33"/>
      <c r="N29" s="33"/>
      <c r="O29" s="33"/>
      <c r="P29" s="33"/>
      <c r="Q29" s="33"/>
      <c r="R29" s="33"/>
      <c r="S29" s="33"/>
      <c r="T29" s="33"/>
      <c r="U29" s="34"/>
      <c r="V29" s="33"/>
      <c r="W29" s="33"/>
      <c r="X29" s="33"/>
      <c r="Y29" s="33"/>
      <c r="Z29" s="33"/>
      <c r="AA29" s="35"/>
      <c r="AB29" s="35"/>
      <c r="AC29" s="36"/>
      <c r="AD29" s="14"/>
    </row>
    <row r="30" spans="3:30" x14ac:dyDescent="0.25">
      <c r="J30" s="14"/>
      <c r="K30" s="32">
        <v>0.95833333334303461</v>
      </c>
      <c r="L30" s="33"/>
      <c r="M30" s="33"/>
      <c r="N30" s="33"/>
      <c r="O30" s="33"/>
      <c r="P30" s="33"/>
      <c r="Q30" s="33"/>
      <c r="R30" s="33"/>
      <c r="S30" s="33"/>
      <c r="T30" s="33"/>
      <c r="U30" s="34"/>
      <c r="V30" s="33"/>
      <c r="W30" s="33"/>
      <c r="X30" s="33"/>
      <c r="Y30" s="33"/>
      <c r="Z30" s="33"/>
      <c r="AA30" s="35"/>
      <c r="AB30" s="35"/>
      <c r="AC30" s="36"/>
      <c r="AD30" s="14"/>
    </row>
    <row r="31" spans="3:30" x14ac:dyDescent="0.25">
      <c r="J31" s="14"/>
      <c r="K31" s="37">
        <v>1</v>
      </c>
      <c r="L31" s="38"/>
      <c r="M31" s="38"/>
      <c r="N31" s="38"/>
      <c r="O31" s="38"/>
      <c r="P31" s="38"/>
      <c r="Q31" s="38"/>
      <c r="R31" s="38"/>
      <c r="S31" s="38"/>
      <c r="T31" s="38"/>
      <c r="U31" s="39"/>
      <c r="V31" s="40"/>
      <c r="W31" s="38"/>
      <c r="X31" s="39"/>
      <c r="Y31" s="40"/>
      <c r="Z31" s="40"/>
      <c r="AA31" s="40"/>
      <c r="AB31" s="40"/>
      <c r="AC31" s="41"/>
      <c r="AD31" s="14"/>
    </row>
    <row r="32" spans="3:30" x14ac:dyDescent="0.25">
      <c r="J32" s="14"/>
      <c r="K32" s="14"/>
      <c r="L32" s="15"/>
      <c r="M32" s="15"/>
      <c r="N32" s="15"/>
      <c r="O32" s="15"/>
      <c r="P32" s="15"/>
      <c r="Q32" s="15"/>
      <c r="R32" s="15"/>
      <c r="S32" s="15"/>
      <c r="T32" s="15"/>
      <c r="U32" s="16"/>
      <c r="V32" s="15"/>
      <c r="W32" s="15"/>
      <c r="X32" s="15"/>
      <c r="Y32" s="15"/>
      <c r="Z32" s="15"/>
      <c r="AA32" s="17"/>
      <c r="AB32" s="17"/>
      <c r="AC32" s="15"/>
      <c r="AD32" s="14"/>
    </row>
    <row r="33" spans="10:30" x14ac:dyDescent="0.25">
      <c r="J33" s="14"/>
      <c r="K33" s="14"/>
      <c r="L33" s="15"/>
      <c r="M33" s="15"/>
      <c r="N33" s="15"/>
      <c r="O33" s="15"/>
      <c r="P33" s="15"/>
      <c r="Q33" s="15"/>
      <c r="R33" s="15"/>
      <c r="S33" s="15"/>
      <c r="T33" s="15"/>
      <c r="U33" s="16"/>
      <c r="V33" s="15"/>
      <c r="W33" s="15"/>
      <c r="X33" s="15"/>
      <c r="Y33" s="15"/>
      <c r="Z33" s="15"/>
      <c r="AA33" s="17"/>
      <c r="AB33" s="17"/>
      <c r="AC33" s="15"/>
      <c r="AD33" s="14"/>
    </row>
    <row r="34" spans="10:30" x14ac:dyDescent="0.25">
      <c r="J34" s="14"/>
      <c r="K34" s="14"/>
      <c r="L34" s="15"/>
      <c r="M34" s="15"/>
      <c r="N34" s="15"/>
      <c r="O34" s="15"/>
      <c r="P34" s="15"/>
      <c r="Q34" s="15"/>
      <c r="R34" s="15"/>
      <c r="S34" s="15"/>
      <c r="T34" s="15"/>
      <c r="U34" s="16"/>
      <c r="V34" s="15"/>
      <c r="W34" s="15"/>
      <c r="X34" s="15"/>
      <c r="Y34" s="15"/>
      <c r="Z34" s="15"/>
      <c r="AA34" s="17"/>
      <c r="AB34" s="17"/>
      <c r="AC34" s="15"/>
      <c r="AD34" s="14"/>
    </row>
  </sheetData>
  <mergeCells count="1">
    <mergeCell ref="K2:AC2"/>
  </mergeCells>
  <printOptions gridLines="1" gridLinesSet="0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Line="0" autoPict="0" macro="[0]!put_data1">
                <anchor moveWithCells="1" sizeWithCells="1">
                  <from>
                    <xdr:col>1</xdr:col>
                    <xdr:colOff>7620</xdr:colOff>
                    <xdr:row>7</xdr:row>
                    <xdr:rowOff>7620</xdr:rowOff>
                  </from>
                  <to>
                    <xdr:col>2</xdr:col>
                    <xdr:colOff>449580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Line="0" autoPict="0" macro="[0]!put_data2">
                <anchor moveWithCells="1" sizeWithCells="1">
                  <from>
                    <xdr:col>1</xdr:col>
                    <xdr:colOff>365760</xdr:colOff>
                    <xdr:row>20</xdr:row>
                    <xdr:rowOff>0</xdr:rowOff>
                  </from>
                  <to>
                    <xdr:col>2</xdr:col>
                    <xdr:colOff>472440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H34"/>
  <sheetViews>
    <sheetView tabSelected="1" workbookViewId="0">
      <selection activeCell="N9" sqref="N9"/>
    </sheetView>
  </sheetViews>
  <sheetFormatPr defaultRowHeight="13.2" x14ac:dyDescent="0.25"/>
  <cols>
    <col min="1" max="1" width="1.6640625" customWidth="1"/>
    <col min="2" max="2" width="21.44140625" customWidth="1"/>
    <col min="3" max="3" width="10" customWidth="1"/>
    <col min="4" max="4" width="17.6640625" customWidth="1"/>
    <col min="5" max="5" width="10.109375" customWidth="1"/>
    <col min="6" max="6" width="5.109375" customWidth="1"/>
    <col min="7" max="7" width="20.6640625" customWidth="1"/>
    <col min="31" max="31" width="15.5546875" bestFit="1" customWidth="1"/>
  </cols>
  <sheetData>
    <row r="1" spans="2:34" x14ac:dyDescent="0.25">
      <c r="B1" t="s">
        <v>17</v>
      </c>
    </row>
    <row r="2" spans="2:34" ht="19.8" x14ac:dyDescent="0.3">
      <c r="B2" s="4"/>
      <c r="C2" s="5" t="s">
        <v>1</v>
      </c>
      <c r="D2" s="5"/>
      <c r="E2" s="6"/>
      <c r="G2" s="13" t="s">
        <v>2</v>
      </c>
      <c r="J2" s="14"/>
      <c r="K2" s="42" t="s">
        <v>25</v>
      </c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4"/>
      <c r="AD2" s="14"/>
    </row>
    <row r="3" spans="2:34" ht="13.8" thickBot="1" x14ac:dyDescent="0.3">
      <c r="B3" s="3" t="s">
        <v>3</v>
      </c>
      <c r="C3" s="3" t="s">
        <v>18</v>
      </c>
      <c r="D3" s="3" t="s">
        <v>0</v>
      </c>
      <c r="E3" s="3" t="s">
        <v>4</v>
      </c>
      <c r="G3" s="3" t="s">
        <v>0</v>
      </c>
      <c r="J3" s="18"/>
      <c r="K3" s="19" t="s">
        <v>26</v>
      </c>
      <c r="L3" s="20">
        <f t="shared" ref="L3:AC3" si="0">COUNTIF(L8:L31,"&gt;0")</f>
        <v>6</v>
      </c>
      <c r="M3" s="20">
        <f t="shared" si="0"/>
        <v>6</v>
      </c>
      <c r="N3" s="20">
        <f t="shared" si="0"/>
        <v>6</v>
      </c>
      <c r="O3" s="20">
        <f t="shared" si="0"/>
        <v>6</v>
      </c>
      <c r="P3" s="20">
        <f t="shared" si="0"/>
        <v>0</v>
      </c>
      <c r="Q3" s="20">
        <f t="shared" si="0"/>
        <v>0</v>
      </c>
      <c r="R3" s="20">
        <f t="shared" si="0"/>
        <v>0</v>
      </c>
      <c r="S3" s="20">
        <f t="shared" si="0"/>
        <v>0</v>
      </c>
      <c r="T3" s="20">
        <f t="shared" si="0"/>
        <v>0</v>
      </c>
      <c r="U3" s="20">
        <f t="shared" si="0"/>
        <v>0</v>
      </c>
      <c r="V3" s="20">
        <f t="shared" si="0"/>
        <v>0</v>
      </c>
      <c r="W3" s="20">
        <f t="shared" si="0"/>
        <v>0</v>
      </c>
      <c r="X3" s="20">
        <f t="shared" si="0"/>
        <v>0</v>
      </c>
      <c r="Y3" s="20">
        <f t="shared" si="0"/>
        <v>0</v>
      </c>
      <c r="Z3" s="20">
        <f t="shared" si="0"/>
        <v>0</v>
      </c>
      <c r="AA3" s="20">
        <f t="shared" si="0"/>
        <v>0</v>
      </c>
      <c r="AB3" s="20">
        <f t="shared" si="0"/>
        <v>0</v>
      </c>
      <c r="AC3" s="20">
        <f t="shared" si="0"/>
        <v>0</v>
      </c>
      <c r="AD3" s="21"/>
    </row>
    <row r="4" spans="2:34" ht="13.8" thickTop="1" x14ac:dyDescent="0.25">
      <c r="B4" t="s">
        <v>23</v>
      </c>
      <c r="C4" t="s">
        <v>6</v>
      </c>
      <c r="D4">
        <v>78945</v>
      </c>
      <c r="E4" t="s">
        <v>24</v>
      </c>
      <c r="G4" t="e">
        <f t="array" aca="1" ref="G4" ca="1">_xll.PIArcVal($C$4,$B$4,0,"DATA_ARCHIVE","exact time")</f>
        <v>#NAME?</v>
      </c>
      <c r="J4" s="14"/>
      <c r="K4" s="22" t="s">
        <v>27</v>
      </c>
      <c r="L4" s="23">
        <f t="shared" ref="L4:AC4" si="1">AVERAGE(L8:L31)</f>
        <v>178.66666666666666</v>
      </c>
      <c r="M4" s="23">
        <f t="shared" si="1"/>
        <v>182.66666666666666</v>
      </c>
      <c r="N4" s="23">
        <f t="shared" si="1"/>
        <v>28.833333333333332</v>
      </c>
      <c r="O4" s="23">
        <f t="shared" si="1"/>
        <v>78.5</v>
      </c>
      <c r="P4" s="23" t="e">
        <f t="shared" si="1"/>
        <v>#DIV/0!</v>
      </c>
      <c r="Q4" s="23" t="e">
        <f t="shared" si="1"/>
        <v>#DIV/0!</v>
      </c>
      <c r="R4" s="23" t="e">
        <f t="shared" si="1"/>
        <v>#DIV/0!</v>
      </c>
      <c r="S4" s="23" t="e">
        <f t="shared" si="1"/>
        <v>#DIV/0!</v>
      </c>
      <c r="T4" s="23" t="e">
        <f t="shared" si="1"/>
        <v>#DIV/0!</v>
      </c>
      <c r="U4" s="24" t="e">
        <f t="shared" si="1"/>
        <v>#DIV/0!</v>
      </c>
      <c r="V4" s="23" t="e">
        <f t="shared" si="1"/>
        <v>#DIV/0!</v>
      </c>
      <c r="W4" s="23" t="e">
        <f t="shared" si="1"/>
        <v>#DIV/0!</v>
      </c>
      <c r="X4" s="23" t="e">
        <f t="shared" si="1"/>
        <v>#DIV/0!</v>
      </c>
      <c r="Y4" s="23" t="e">
        <f t="shared" si="1"/>
        <v>#DIV/0!</v>
      </c>
      <c r="Z4" s="23" t="e">
        <f t="shared" si="1"/>
        <v>#DIV/0!</v>
      </c>
      <c r="AA4" s="25" t="e">
        <f t="shared" si="1"/>
        <v>#DIV/0!</v>
      </c>
      <c r="AB4" s="25" t="e">
        <f t="shared" si="1"/>
        <v>#DIV/0!</v>
      </c>
      <c r="AC4" s="23" t="e">
        <f t="shared" si="1"/>
        <v>#DIV/0!</v>
      </c>
      <c r="AD4" s="26"/>
    </row>
    <row r="5" spans="2:34" x14ac:dyDescent="0.25">
      <c r="B5" t="s">
        <v>5</v>
      </c>
      <c r="C5" t="s">
        <v>7</v>
      </c>
      <c r="D5">
        <v>5.9</v>
      </c>
      <c r="E5" t="s">
        <v>21</v>
      </c>
      <c r="G5" t="e">
        <f t="array" aca="1" ref="G5" ca="1">_xll.PIArcVal($C$5,$B$5,0,"DATA_ARCHIVE","exact time")</f>
        <v>#NAME?</v>
      </c>
      <c r="J5" s="14"/>
      <c r="K5" s="22" t="s">
        <v>28</v>
      </c>
      <c r="L5" s="23">
        <f t="shared" ref="L5:AC5" si="2">MIN(L8:L31)</f>
        <v>2</v>
      </c>
      <c r="M5" s="23">
        <f t="shared" si="2"/>
        <v>2</v>
      </c>
      <c r="N5" s="23">
        <f t="shared" si="2"/>
        <v>23</v>
      </c>
      <c r="O5" s="23">
        <f t="shared" si="2"/>
        <v>4</v>
      </c>
      <c r="P5" s="23">
        <f t="shared" si="2"/>
        <v>0</v>
      </c>
      <c r="Q5" s="23">
        <f t="shared" si="2"/>
        <v>0</v>
      </c>
      <c r="R5" s="23">
        <f t="shared" si="2"/>
        <v>0</v>
      </c>
      <c r="S5" s="23">
        <f t="shared" si="2"/>
        <v>0</v>
      </c>
      <c r="T5" s="23">
        <f t="shared" si="2"/>
        <v>0</v>
      </c>
      <c r="U5" s="24">
        <f t="shared" si="2"/>
        <v>0</v>
      </c>
      <c r="V5" s="23">
        <f t="shared" si="2"/>
        <v>0</v>
      </c>
      <c r="W5" s="23">
        <f t="shared" si="2"/>
        <v>0</v>
      </c>
      <c r="X5" s="23">
        <f t="shared" si="2"/>
        <v>0</v>
      </c>
      <c r="Y5" s="23">
        <f t="shared" si="2"/>
        <v>0</v>
      </c>
      <c r="Z5" s="23">
        <f t="shared" si="2"/>
        <v>0</v>
      </c>
      <c r="AA5" s="25">
        <f t="shared" si="2"/>
        <v>0</v>
      </c>
      <c r="AB5" s="25">
        <f t="shared" si="2"/>
        <v>0</v>
      </c>
      <c r="AC5" s="23">
        <f t="shared" si="2"/>
        <v>0</v>
      </c>
      <c r="AD5" s="26"/>
    </row>
    <row r="6" spans="2:34" x14ac:dyDescent="0.25">
      <c r="B6" t="s">
        <v>5</v>
      </c>
      <c r="C6" t="s">
        <v>8</v>
      </c>
      <c r="D6" t="s">
        <v>9</v>
      </c>
      <c r="E6" t="s">
        <v>21</v>
      </c>
      <c r="G6" s="2" t="e">
        <f t="array" aca="1" ref="G6" ca="1">_xll.PIArcVal(PutVal!$C$6,PutVal!$B$6,0,"DATA_ARCHIVE","exact time")</f>
        <v>#NAME?</v>
      </c>
      <c r="J6" s="14"/>
      <c r="K6" s="22" t="s">
        <v>29</v>
      </c>
      <c r="L6" s="23">
        <f t="shared" ref="L6:AC6" si="3">MAX(L8:L31)</f>
        <v>555</v>
      </c>
      <c r="M6" s="23">
        <f t="shared" si="3"/>
        <v>655</v>
      </c>
      <c r="N6" s="23">
        <f t="shared" si="3"/>
        <v>35</v>
      </c>
      <c r="O6" s="23">
        <f t="shared" si="3"/>
        <v>342</v>
      </c>
      <c r="P6" s="23">
        <f t="shared" si="3"/>
        <v>0</v>
      </c>
      <c r="Q6" s="23">
        <f t="shared" si="3"/>
        <v>0</v>
      </c>
      <c r="R6" s="23">
        <f t="shared" si="3"/>
        <v>0</v>
      </c>
      <c r="S6" s="23">
        <f t="shared" si="3"/>
        <v>0</v>
      </c>
      <c r="T6" s="23">
        <f t="shared" si="3"/>
        <v>0</v>
      </c>
      <c r="U6" s="24">
        <f t="shared" si="3"/>
        <v>0</v>
      </c>
      <c r="V6" s="23">
        <f t="shared" si="3"/>
        <v>0</v>
      </c>
      <c r="W6" s="23">
        <f t="shared" si="3"/>
        <v>0</v>
      </c>
      <c r="X6" s="23">
        <f t="shared" si="3"/>
        <v>0</v>
      </c>
      <c r="Y6" s="23">
        <f t="shared" si="3"/>
        <v>0</v>
      </c>
      <c r="Z6" s="23">
        <f t="shared" si="3"/>
        <v>0</v>
      </c>
      <c r="AA6" s="25">
        <f t="shared" si="3"/>
        <v>0</v>
      </c>
      <c r="AB6" s="25">
        <f t="shared" si="3"/>
        <v>0</v>
      </c>
      <c r="AC6" s="23">
        <f t="shared" si="3"/>
        <v>0</v>
      </c>
      <c r="AD6" s="26"/>
    </row>
    <row r="7" spans="2:34" ht="88.2" thickBot="1" x14ac:dyDescent="0.3">
      <c r="J7" s="14"/>
      <c r="K7" s="27" t="s">
        <v>30</v>
      </c>
      <c r="L7" s="28" t="s">
        <v>47</v>
      </c>
      <c r="M7" s="28" t="s">
        <v>48</v>
      </c>
      <c r="N7" s="28" t="s">
        <v>49</v>
      </c>
      <c r="O7" s="28" t="s">
        <v>50</v>
      </c>
      <c r="P7" s="28" t="s">
        <v>33</v>
      </c>
      <c r="Q7" s="28" t="s">
        <v>34</v>
      </c>
      <c r="R7" s="28" t="s">
        <v>35</v>
      </c>
      <c r="S7" s="28" t="s">
        <v>36</v>
      </c>
      <c r="T7" s="28" t="s">
        <v>37</v>
      </c>
      <c r="U7" s="29" t="s">
        <v>38</v>
      </c>
      <c r="V7" s="28" t="s">
        <v>39</v>
      </c>
      <c r="W7" s="28" t="s">
        <v>40</v>
      </c>
      <c r="X7" s="28" t="s">
        <v>41</v>
      </c>
      <c r="Y7" s="28" t="s">
        <v>42</v>
      </c>
      <c r="Z7" s="28" t="s">
        <v>43</v>
      </c>
      <c r="AA7" s="30" t="s">
        <v>44</v>
      </c>
      <c r="AB7" s="30" t="s">
        <v>45</v>
      </c>
      <c r="AC7" s="31" t="s">
        <v>46</v>
      </c>
      <c r="AD7" s="14"/>
    </row>
    <row r="8" spans="2:34" ht="14.4" thickTop="1" thickBot="1" x14ac:dyDescent="0.3">
      <c r="D8" s="8" t="s">
        <v>19</v>
      </c>
      <c r="E8" s="7" t="s">
        <v>22</v>
      </c>
      <c r="J8" s="14"/>
      <c r="K8" s="32">
        <v>4.1666666666666664E-2</v>
      </c>
      <c r="L8" s="33">
        <v>2</v>
      </c>
      <c r="M8" s="33">
        <v>2</v>
      </c>
      <c r="N8" s="33">
        <v>34</v>
      </c>
      <c r="O8" s="33">
        <v>4</v>
      </c>
      <c r="P8" s="33"/>
      <c r="Q8" s="33"/>
      <c r="R8" s="33"/>
      <c r="S8" s="33"/>
      <c r="T8" s="33"/>
      <c r="U8" s="34"/>
      <c r="V8" s="33"/>
      <c r="W8" s="33"/>
      <c r="X8" s="33"/>
      <c r="Y8" s="33"/>
      <c r="Z8" s="33"/>
      <c r="AA8" s="35"/>
      <c r="AB8" s="35"/>
      <c r="AC8" s="36"/>
      <c r="AD8" s="14"/>
      <c r="AE8" t="s">
        <v>24</v>
      </c>
      <c r="AF8" t="s">
        <v>24</v>
      </c>
      <c r="AG8" t="s">
        <v>24</v>
      </c>
      <c r="AH8" t="s">
        <v>24</v>
      </c>
    </row>
    <row r="9" spans="2:34" ht="13.8" thickTop="1" x14ac:dyDescent="0.25">
      <c r="J9" s="14"/>
      <c r="K9" s="32">
        <v>8.333333334303461E-2</v>
      </c>
      <c r="L9" s="33">
        <v>56</v>
      </c>
      <c r="M9" s="33">
        <v>7</v>
      </c>
      <c r="N9" s="33">
        <v>35</v>
      </c>
      <c r="O9" s="33">
        <v>5</v>
      </c>
      <c r="P9" s="33"/>
      <c r="Q9" s="33"/>
      <c r="R9" s="33"/>
      <c r="S9" s="33"/>
      <c r="T9" s="33"/>
      <c r="U9" s="34"/>
      <c r="V9" s="33"/>
      <c r="W9" s="33"/>
      <c r="X9" s="33"/>
      <c r="Y9" s="33"/>
      <c r="Z9" s="33"/>
      <c r="AA9" s="35"/>
      <c r="AB9" s="35"/>
      <c r="AC9" s="36"/>
      <c r="AD9" s="14"/>
      <c r="AE9" t="s">
        <v>24</v>
      </c>
      <c r="AF9" t="s">
        <v>24</v>
      </c>
      <c r="AG9" t="s">
        <v>24</v>
      </c>
      <c r="AH9" t="s">
        <v>24</v>
      </c>
    </row>
    <row r="10" spans="2:34" x14ac:dyDescent="0.25">
      <c r="J10" s="14"/>
      <c r="K10" s="32">
        <v>0.125</v>
      </c>
      <c r="L10" s="33">
        <v>89</v>
      </c>
      <c r="M10" s="33">
        <v>345</v>
      </c>
      <c r="N10" s="33">
        <v>35</v>
      </c>
      <c r="O10" s="33">
        <v>342</v>
      </c>
      <c r="P10" s="33"/>
      <c r="Q10" s="33"/>
      <c r="R10" s="33"/>
      <c r="S10" s="33"/>
      <c r="T10" s="33"/>
      <c r="U10" s="34"/>
      <c r="V10" s="33"/>
      <c r="W10" s="33"/>
      <c r="X10" s="33"/>
      <c r="Y10" s="33"/>
      <c r="Z10" s="33"/>
      <c r="AA10" s="35"/>
      <c r="AB10" s="35"/>
      <c r="AC10" s="36"/>
      <c r="AD10" s="14"/>
      <c r="AE10" t="s">
        <v>24</v>
      </c>
      <c r="AF10" t="s">
        <v>24</v>
      </c>
      <c r="AG10" t="s">
        <v>24</v>
      </c>
      <c r="AH10" t="s">
        <v>24</v>
      </c>
    </row>
    <row r="11" spans="2:34" x14ac:dyDescent="0.25">
      <c r="B11" t="s">
        <v>16</v>
      </c>
      <c r="J11" s="14"/>
      <c r="K11" s="32">
        <v>0.16666666665696539</v>
      </c>
      <c r="L11" s="33">
        <v>345</v>
      </c>
      <c r="M11" s="33">
        <v>34</v>
      </c>
      <c r="N11" s="33">
        <v>23</v>
      </c>
      <c r="O11" s="33">
        <v>43</v>
      </c>
      <c r="P11" s="33"/>
      <c r="Q11" s="33"/>
      <c r="R11" s="33"/>
      <c r="S11" s="33"/>
      <c r="T11" s="33"/>
      <c r="U11" s="34"/>
      <c r="V11" s="33"/>
      <c r="W11" s="33"/>
      <c r="X11" s="33"/>
      <c r="Y11" s="33"/>
      <c r="Z11" s="33"/>
      <c r="AA11" s="35"/>
      <c r="AB11" s="35"/>
      <c r="AC11" s="36"/>
      <c r="AD11" s="14"/>
      <c r="AE11" t="s">
        <v>24</v>
      </c>
      <c r="AF11" t="s">
        <v>24</v>
      </c>
      <c r="AG11" t="s">
        <v>24</v>
      </c>
      <c r="AH11" t="s">
        <v>24</v>
      </c>
    </row>
    <row r="12" spans="2:34" x14ac:dyDescent="0.25">
      <c r="B12" s="4"/>
      <c r="C12" s="9"/>
      <c r="D12" s="5" t="s">
        <v>1</v>
      </c>
      <c r="E12" s="6"/>
      <c r="G12" s="13" t="s">
        <v>2</v>
      </c>
      <c r="J12" s="14"/>
      <c r="K12" s="32">
        <v>0.20833333334303461</v>
      </c>
      <c r="L12" s="33">
        <v>555</v>
      </c>
      <c r="M12" s="33">
        <v>53</v>
      </c>
      <c r="N12" s="33">
        <v>23</v>
      </c>
      <c r="O12" s="33">
        <v>23</v>
      </c>
      <c r="P12" s="33"/>
      <c r="Q12" s="33"/>
      <c r="R12" s="33"/>
      <c r="S12" s="33"/>
      <c r="T12" s="33"/>
      <c r="U12" s="34"/>
      <c r="V12" s="33"/>
      <c r="W12" s="33"/>
      <c r="X12" s="33"/>
      <c r="Y12" s="33"/>
      <c r="Z12" s="33"/>
      <c r="AA12" s="35"/>
      <c r="AB12" s="35"/>
      <c r="AC12" s="36"/>
      <c r="AD12" s="14"/>
      <c r="AE12" t="s">
        <v>24</v>
      </c>
      <c r="AF12" t="s">
        <v>24</v>
      </c>
      <c r="AG12" t="s">
        <v>24</v>
      </c>
      <c r="AH12" t="s">
        <v>24</v>
      </c>
    </row>
    <row r="13" spans="2:34" ht="13.8" thickBot="1" x14ac:dyDescent="0.3">
      <c r="B13" s="3" t="s">
        <v>3</v>
      </c>
      <c r="C13" s="3" t="s">
        <v>18</v>
      </c>
      <c r="D13" s="3" t="s">
        <v>0</v>
      </c>
      <c r="E13" s="3" t="s">
        <v>4</v>
      </c>
      <c r="G13" s="3" t="s">
        <v>0</v>
      </c>
      <c r="J13" s="14"/>
      <c r="K13" s="32">
        <v>0.25</v>
      </c>
      <c r="L13" s="33">
        <v>25</v>
      </c>
      <c r="M13" s="33">
        <v>655</v>
      </c>
      <c r="N13" s="33">
        <v>23</v>
      </c>
      <c r="O13" s="33">
        <v>54</v>
      </c>
      <c r="P13" s="33"/>
      <c r="Q13" s="33"/>
      <c r="R13" s="33"/>
      <c r="S13" s="33"/>
      <c r="T13" s="33"/>
      <c r="U13" s="34"/>
      <c r="V13" s="33"/>
      <c r="W13" s="33"/>
      <c r="X13" s="33"/>
      <c r="Y13" s="33"/>
      <c r="Z13" s="33"/>
      <c r="AA13" s="35"/>
      <c r="AB13" s="35"/>
      <c r="AC13" s="36"/>
      <c r="AD13" s="14"/>
      <c r="AE13" t="s">
        <v>24</v>
      </c>
      <c r="AF13" t="s">
        <v>24</v>
      </c>
      <c r="AG13" t="s">
        <v>24</v>
      </c>
      <c r="AH13" t="s">
        <v>24</v>
      </c>
    </row>
    <row r="14" spans="2:34" ht="13.8" thickTop="1" x14ac:dyDescent="0.25">
      <c r="B14" s="12">
        <v>35873.083334756942</v>
      </c>
      <c r="C14" t="s">
        <v>10</v>
      </c>
      <c r="D14" s="2">
        <v>16</v>
      </c>
      <c r="E14" t="s">
        <v>11</v>
      </c>
      <c r="G14" s="2"/>
      <c r="J14" s="14"/>
      <c r="K14" s="32">
        <v>0.29166666665696539</v>
      </c>
      <c r="L14" s="33"/>
      <c r="M14" s="33"/>
      <c r="N14" s="33"/>
      <c r="O14" s="33"/>
      <c r="P14" s="33"/>
      <c r="Q14" s="33"/>
      <c r="R14" s="33"/>
      <c r="S14" s="33"/>
      <c r="T14" s="33"/>
      <c r="U14" s="34"/>
      <c r="V14" s="33"/>
      <c r="W14" s="33"/>
      <c r="X14" s="33"/>
      <c r="Y14" s="33"/>
      <c r="Z14" s="33"/>
      <c r="AA14" s="35"/>
      <c r="AB14" s="35"/>
      <c r="AC14" s="36"/>
      <c r="AD14" s="14"/>
      <c r="AE14" t="s">
        <v>24</v>
      </c>
      <c r="AF14" t="s">
        <v>24</v>
      </c>
      <c r="AG14" t="s">
        <v>24</v>
      </c>
      <c r="AH14" t="s">
        <v>24</v>
      </c>
    </row>
    <row r="15" spans="2:34" x14ac:dyDescent="0.25">
      <c r="B15" s="12"/>
      <c r="C15" t="s">
        <v>7</v>
      </c>
      <c r="D15" s="2">
        <v>12</v>
      </c>
      <c r="E15" t="s">
        <v>11</v>
      </c>
      <c r="G15" s="2"/>
      <c r="J15" s="14"/>
      <c r="K15" s="32">
        <v>0.33333333334303461</v>
      </c>
      <c r="L15" s="33"/>
      <c r="M15" s="33"/>
      <c r="N15" s="33"/>
      <c r="O15" s="33"/>
      <c r="P15" s="33"/>
      <c r="Q15" s="33"/>
      <c r="R15" s="33"/>
      <c r="S15" s="33"/>
      <c r="T15" s="33"/>
      <c r="U15" s="34"/>
      <c r="V15" s="33"/>
      <c r="W15" s="33"/>
      <c r="X15" s="33"/>
      <c r="Y15" s="33"/>
      <c r="Z15" s="33"/>
      <c r="AA15" s="35"/>
      <c r="AB15" s="35"/>
      <c r="AC15" s="36"/>
      <c r="AD15" s="14"/>
    </row>
    <row r="16" spans="2:34" x14ac:dyDescent="0.25">
      <c r="C16" t="s">
        <v>12</v>
      </c>
      <c r="D16" s="2">
        <v>234</v>
      </c>
      <c r="E16" t="s">
        <v>11</v>
      </c>
      <c r="G16" s="2"/>
      <c r="J16" s="14"/>
      <c r="K16" s="32">
        <v>0.375</v>
      </c>
      <c r="L16" s="33"/>
      <c r="M16" s="33"/>
      <c r="N16" s="33"/>
      <c r="O16" s="33"/>
      <c r="P16" s="33"/>
      <c r="Q16" s="33"/>
      <c r="R16" s="33"/>
      <c r="S16" s="33"/>
      <c r="T16" s="33"/>
      <c r="U16" s="34"/>
      <c r="V16" s="33"/>
      <c r="W16" s="33"/>
      <c r="X16" s="33"/>
      <c r="Y16" s="33"/>
      <c r="Z16" s="33"/>
      <c r="AA16" s="35"/>
      <c r="AB16" s="35"/>
      <c r="AC16" s="36"/>
      <c r="AD16" s="14"/>
    </row>
    <row r="17" spans="3:30" x14ac:dyDescent="0.25">
      <c r="C17" t="s">
        <v>8</v>
      </c>
      <c r="D17" s="2">
        <v>5</v>
      </c>
      <c r="E17" t="s">
        <v>11</v>
      </c>
      <c r="G17" s="2"/>
      <c r="J17" s="14"/>
      <c r="K17" s="32">
        <v>0.41666666665696539</v>
      </c>
      <c r="L17" s="33"/>
      <c r="M17" s="33"/>
      <c r="N17" s="33"/>
      <c r="O17" s="33"/>
      <c r="P17" s="33"/>
      <c r="Q17" s="33"/>
      <c r="R17" s="33"/>
      <c r="S17" s="33"/>
      <c r="T17" s="33"/>
      <c r="U17" s="34"/>
      <c r="V17" s="33"/>
      <c r="W17" s="33"/>
      <c r="X17" s="33"/>
      <c r="Y17" s="33"/>
      <c r="Z17" s="33"/>
      <c r="AA17" s="35"/>
      <c r="AB17" s="35"/>
      <c r="AC17" s="36"/>
      <c r="AD17" s="14"/>
    </row>
    <row r="18" spans="3:30" x14ac:dyDescent="0.25">
      <c r="C18" t="s">
        <v>13</v>
      </c>
      <c r="D18" s="2">
        <v>-2</v>
      </c>
      <c r="E18" t="s">
        <v>11</v>
      </c>
      <c r="G18" s="11"/>
      <c r="J18" s="14"/>
      <c r="K18" s="32">
        <v>0.45833333334303461</v>
      </c>
      <c r="L18" s="33"/>
      <c r="M18" s="33"/>
      <c r="N18" s="33"/>
      <c r="O18" s="33"/>
      <c r="P18" s="33"/>
      <c r="Q18" s="33"/>
      <c r="R18" s="33"/>
      <c r="S18" s="33"/>
      <c r="T18" s="33"/>
      <c r="U18" s="34"/>
      <c r="V18" s="33"/>
      <c r="W18" s="33"/>
      <c r="X18" s="33"/>
      <c r="Y18" s="33"/>
      <c r="Z18" s="33"/>
      <c r="AA18" s="35"/>
      <c r="AB18" s="35"/>
      <c r="AC18" s="36"/>
      <c r="AD18" s="14"/>
    </row>
    <row r="19" spans="3:30" x14ac:dyDescent="0.25">
      <c r="C19" t="s">
        <v>14</v>
      </c>
      <c r="D19" s="10" t="s">
        <v>15</v>
      </c>
      <c r="E19" t="s">
        <v>11</v>
      </c>
      <c r="G19" s="2"/>
      <c r="J19" s="14"/>
      <c r="K19" s="32">
        <v>0.5</v>
      </c>
      <c r="L19" s="33"/>
      <c r="M19" s="33"/>
      <c r="N19" s="33"/>
      <c r="O19" s="33"/>
      <c r="P19" s="33"/>
      <c r="Q19" s="33"/>
      <c r="R19" s="33"/>
      <c r="S19" s="33"/>
      <c r="T19" s="33"/>
      <c r="U19" s="34"/>
      <c r="V19" s="33"/>
      <c r="W19" s="33"/>
      <c r="X19" s="33"/>
      <c r="Y19" s="33"/>
      <c r="Z19" s="33"/>
      <c r="AA19" s="35"/>
      <c r="AB19" s="35"/>
      <c r="AC19" s="36"/>
      <c r="AD19" s="14"/>
    </row>
    <row r="20" spans="3:30" ht="13.8" thickBot="1" x14ac:dyDescent="0.3">
      <c r="J20" s="14"/>
      <c r="K20" s="32">
        <v>0.54166666665696539</v>
      </c>
      <c r="L20" s="33"/>
      <c r="M20" s="33"/>
      <c r="N20" s="33"/>
      <c r="O20" s="33"/>
      <c r="P20" s="33"/>
      <c r="Q20" s="33"/>
      <c r="R20" s="33"/>
      <c r="S20" s="33"/>
      <c r="T20" s="33"/>
      <c r="U20" s="34"/>
      <c r="V20" s="33"/>
      <c r="W20" s="33"/>
      <c r="X20" s="33"/>
      <c r="Y20" s="33"/>
      <c r="Z20" s="33"/>
      <c r="AA20" s="35"/>
      <c r="AB20" s="35"/>
      <c r="AC20" s="36"/>
      <c r="AD20" s="14"/>
    </row>
    <row r="21" spans="3:30" ht="14.4" thickTop="1" thickBot="1" x14ac:dyDescent="0.3">
      <c r="D21" s="8" t="s">
        <v>19</v>
      </c>
      <c r="E21" s="7" t="s">
        <v>20</v>
      </c>
      <c r="G21" s="2"/>
      <c r="J21" s="14"/>
      <c r="K21" s="32">
        <v>0.58333333334303461</v>
      </c>
      <c r="L21" s="33"/>
      <c r="M21" s="33"/>
      <c r="N21" s="33"/>
      <c r="O21" s="33"/>
      <c r="P21" s="33"/>
      <c r="Q21" s="33"/>
      <c r="R21" s="33"/>
      <c r="S21" s="33"/>
      <c r="T21" s="33"/>
      <c r="U21" s="34"/>
      <c r="V21" s="33"/>
      <c r="W21" s="33"/>
      <c r="X21" s="33"/>
      <c r="Y21" s="33"/>
      <c r="Z21" s="33"/>
      <c r="AA21" s="35"/>
      <c r="AB21" s="35"/>
      <c r="AC21" s="36"/>
      <c r="AD21" s="14"/>
    </row>
    <row r="22" spans="3:30" ht="13.8" thickTop="1" x14ac:dyDescent="0.25">
      <c r="G22" s="2"/>
      <c r="J22" s="14"/>
      <c r="K22" s="32">
        <v>0.625</v>
      </c>
      <c r="L22" s="33"/>
      <c r="M22" s="33"/>
      <c r="N22" s="33"/>
      <c r="O22" s="33"/>
      <c r="P22" s="33"/>
      <c r="Q22" s="33"/>
      <c r="R22" s="33"/>
      <c r="S22" s="33"/>
      <c r="T22" s="33"/>
      <c r="U22" s="34"/>
      <c r="V22" s="33"/>
      <c r="W22" s="33"/>
      <c r="X22" s="33"/>
      <c r="Y22" s="33"/>
      <c r="Z22" s="33"/>
      <c r="AA22" s="35"/>
      <c r="AB22" s="35"/>
      <c r="AC22" s="36"/>
      <c r="AD22" s="14"/>
    </row>
    <row r="23" spans="3:30" x14ac:dyDescent="0.25">
      <c r="G23" s="1"/>
      <c r="J23" s="14"/>
      <c r="K23" s="32">
        <v>0.66666666665696539</v>
      </c>
      <c r="L23" s="33"/>
      <c r="M23" s="33"/>
      <c r="N23" s="33"/>
      <c r="O23" s="33"/>
      <c r="P23" s="33"/>
      <c r="Q23" s="33"/>
      <c r="R23" s="33"/>
      <c r="S23" s="33"/>
      <c r="T23" s="33"/>
      <c r="U23" s="34"/>
      <c r="V23" s="33"/>
      <c r="W23" s="33"/>
      <c r="X23" s="33"/>
      <c r="Y23" s="33"/>
      <c r="Z23" s="33"/>
      <c r="AA23" s="35"/>
      <c r="AB23" s="35"/>
      <c r="AC23" s="36"/>
      <c r="AD23" s="14"/>
    </row>
    <row r="24" spans="3:30" x14ac:dyDescent="0.25">
      <c r="G24" s="1"/>
      <c r="J24" s="14"/>
      <c r="K24" s="32">
        <v>0.70833333334303461</v>
      </c>
      <c r="L24" s="33"/>
      <c r="M24" s="33"/>
      <c r="N24" s="33"/>
      <c r="O24" s="33"/>
      <c r="P24" s="33"/>
      <c r="Q24" s="33"/>
      <c r="R24" s="33"/>
      <c r="S24" s="33"/>
      <c r="T24" s="33"/>
      <c r="U24" s="34"/>
      <c r="V24" s="33"/>
      <c r="W24" s="33"/>
      <c r="X24" s="33"/>
      <c r="Y24" s="33"/>
      <c r="Z24" s="33"/>
      <c r="AA24" s="35"/>
      <c r="AB24" s="35"/>
      <c r="AC24" s="36"/>
      <c r="AD24" s="14"/>
    </row>
    <row r="25" spans="3:30" x14ac:dyDescent="0.25">
      <c r="G25" s="1"/>
      <c r="J25" s="14"/>
      <c r="K25" s="32">
        <v>0.75</v>
      </c>
      <c r="L25" s="33"/>
      <c r="M25" s="33"/>
      <c r="N25" s="33"/>
      <c r="O25" s="33"/>
      <c r="P25" s="33"/>
      <c r="Q25" s="33"/>
      <c r="R25" s="33"/>
      <c r="S25" s="33"/>
      <c r="T25" s="33"/>
      <c r="U25" s="34"/>
      <c r="V25" s="33"/>
      <c r="W25" s="33"/>
      <c r="X25" s="33"/>
      <c r="Y25" s="33"/>
      <c r="Z25" s="33"/>
      <c r="AA25" s="35"/>
      <c r="AB25" s="35"/>
      <c r="AC25" s="36"/>
      <c r="AD25" s="14"/>
    </row>
    <row r="26" spans="3:30" x14ac:dyDescent="0.25">
      <c r="G26" s="1"/>
      <c r="J26" s="14"/>
      <c r="K26" s="32">
        <v>0.79166666665696539</v>
      </c>
      <c r="L26" s="33"/>
      <c r="M26" s="33"/>
      <c r="N26" s="33"/>
      <c r="O26" s="33"/>
      <c r="P26" s="33"/>
      <c r="Q26" s="33"/>
      <c r="R26" s="33"/>
      <c r="S26" s="33"/>
      <c r="T26" s="33"/>
      <c r="U26" s="34"/>
      <c r="V26" s="33"/>
      <c r="W26" s="33"/>
      <c r="X26" s="33"/>
      <c r="Y26" s="33"/>
      <c r="Z26" s="33"/>
      <c r="AA26" s="35"/>
      <c r="AB26" s="35"/>
      <c r="AC26" s="36"/>
      <c r="AD26" s="14"/>
    </row>
    <row r="27" spans="3:30" x14ac:dyDescent="0.25">
      <c r="J27" s="14"/>
      <c r="K27" s="32">
        <v>0.83333333334303461</v>
      </c>
      <c r="L27" s="33"/>
      <c r="M27" s="33"/>
      <c r="N27" s="33"/>
      <c r="O27" s="33"/>
      <c r="P27" s="33"/>
      <c r="Q27" s="33"/>
      <c r="R27" s="33"/>
      <c r="S27" s="33"/>
      <c r="T27" s="33"/>
      <c r="U27" s="34"/>
      <c r="V27" s="33"/>
      <c r="W27" s="33"/>
      <c r="X27" s="33"/>
      <c r="Y27" s="33"/>
      <c r="Z27" s="33"/>
      <c r="AA27" s="35"/>
      <c r="AB27" s="35"/>
      <c r="AC27" s="36"/>
      <c r="AD27" s="14"/>
    </row>
    <row r="28" spans="3:30" x14ac:dyDescent="0.25">
      <c r="J28" s="14"/>
      <c r="K28" s="32">
        <v>0.875</v>
      </c>
      <c r="L28" s="33"/>
      <c r="M28" s="33"/>
      <c r="N28" s="33"/>
      <c r="O28" s="33"/>
      <c r="P28" s="33"/>
      <c r="Q28" s="33"/>
      <c r="R28" s="33"/>
      <c r="S28" s="33"/>
      <c r="T28" s="33"/>
      <c r="U28" s="34"/>
      <c r="V28" s="33"/>
      <c r="W28" s="33"/>
      <c r="X28" s="33"/>
      <c r="Y28" s="33"/>
      <c r="Z28" s="33"/>
      <c r="AA28" s="35"/>
      <c r="AB28" s="35"/>
      <c r="AC28" s="36"/>
      <c r="AD28" s="14"/>
    </row>
    <row r="29" spans="3:30" x14ac:dyDescent="0.25">
      <c r="J29" s="14"/>
      <c r="K29" s="32">
        <v>0.91666666665696539</v>
      </c>
      <c r="L29" s="33"/>
      <c r="M29" s="33"/>
      <c r="N29" s="33"/>
      <c r="O29" s="33"/>
      <c r="P29" s="33"/>
      <c r="Q29" s="33"/>
      <c r="R29" s="33"/>
      <c r="S29" s="33"/>
      <c r="T29" s="33"/>
      <c r="U29" s="34"/>
      <c r="V29" s="33"/>
      <c r="W29" s="33"/>
      <c r="X29" s="33"/>
      <c r="Y29" s="33"/>
      <c r="Z29" s="33"/>
      <c r="AA29" s="35"/>
      <c r="AB29" s="35"/>
      <c r="AC29" s="36"/>
      <c r="AD29" s="14"/>
    </row>
    <row r="30" spans="3:30" x14ac:dyDescent="0.25">
      <c r="J30" s="14"/>
      <c r="K30" s="32">
        <v>0.95833333334303461</v>
      </c>
      <c r="L30" s="33"/>
      <c r="M30" s="33"/>
      <c r="N30" s="33"/>
      <c r="O30" s="33"/>
      <c r="P30" s="33"/>
      <c r="Q30" s="33"/>
      <c r="R30" s="33"/>
      <c r="S30" s="33"/>
      <c r="T30" s="33"/>
      <c r="U30" s="34"/>
      <c r="V30" s="33"/>
      <c r="W30" s="33"/>
      <c r="X30" s="33"/>
      <c r="Y30" s="33"/>
      <c r="Z30" s="33"/>
      <c r="AA30" s="35"/>
      <c r="AB30" s="35"/>
      <c r="AC30" s="36"/>
      <c r="AD30" s="14"/>
    </row>
    <row r="31" spans="3:30" x14ac:dyDescent="0.25">
      <c r="J31" s="14"/>
      <c r="K31" s="37">
        <v>1</v>
      </c>
      <c r="L31" s="38"/>
      <c r="M31" s="38"/>
      <c r="N31" s="38"/>
      <c r="O31" s="38"/>
      <c r="P31" s="38"/>
      <c r="Q31" s="38"/>
      <c r="R31" s="38"/>
      <c r="S31" s="38"/>
      <c r="T31" s="38"/>
      <c r="U31" s="39"/>
      <c r="V31" s="40"/>
      <c r="W31" s="38"/>
      <c r="X31" s="39"/>
      <c r="Y31" s="40"/>
      <c r="Z31" s="40"/>
      <c r="AA31" s="40"/>
      <c r="AB31" s="40"/>
      <c r="AC31" s="41"/>
      <c r="AD31" s="14"/>
    </row>
    <row r="32" spans="3:30" x14ac:dyDescent="0.25">
      <c r="J32" s="14"/>
      <c r="K32" s="14"/>
      <c r="L32" s="15"/>
      <c r="M32" s="15"/>
      <c r="N32" s="15"/>
      <c r="O32" s="15"/>
      <c r="P32" s="15"/>
      <c r="Q32" s="15"/>
      <c r="R32" s="15"/>
      <c r="S32" s="15"/>
      <c r="T32" s="15"/>
      <c r="U32" s="16"/>
      <c r="V32" s="15"/>
      <c r="W32" s="15"/>
      <c r="X32" s="15"/>
      <c r="Y32" s="15"/>
      <c r="Z32" s="15"/>
      <c r="AA32" s="17"/>
      <c r="AB32" s="17"/>
      <c r="AC32" s="15"/>
      <c r="AD32" s="14"/>
    </row>
    <row r="33" spans="10:30" x14ac:dyDescent="0.25">
      <c r="J33" s="14"/>
      <c r="K33" s="14"/>
      <c r="L33" s="15"/>
      <c r="M33" s="15"/>
      <c r="N33" s="15"/>
      <c r="O33" s="15"/>
      <c r="P33" s="15"/>
      <c r="Q33" s="15"/>
      <c r="R33" s="15"/>
      <c r="S33" s="15"/>
      <c r="T33" s="15"/>
      <c r="U33" s="16"/>
      <c r="V33" s="15"/>
      <c r="W33" s="15"/>
      <c r="X33" s="15"/>
      <c r="Y33" s="15"/>
      <c r="Z33" s="15"/>
      <c r="AA33" s="17"/>
      <c r="AB33" s="17"/>
      <c r="AC33" s="15"/>
      <c r="AD33" s="14"/>
    </row>
    <row r="34" spans="10:30" x14ac:dyDescent="0.25">
      <c r="J34" s="14"/>
      <c r="K34" s="14"/>
      <c r="L34" s="15"/>
      <c r="M34" s="15"/>
      <c r="N34" s="15"/>
      <c r="O34" s="15"/>
      <c r="P34" s="15"/>
      <c r="Q34" s="15"/>
      <c r="R34" s="15"/>
      <c r="S34" s="15"/>
      <c r="T34" s="15"/>
      <c r="U34" s="16"/>
      <c r="V34" s="15"/>
      <c r="W34" s="15"/>
      <c r="X34" s="15"/>
      <c r="Y34" s="15"/>
      <c r="Z34" s="15"/>
      <c r="AA34" s="17"/>
      <c r="AB34" s="17"/>
      <c r="AC34" s="15"/>
      <c r="AD34" s="14"/>
    </row>
  </sheetData>
  <mergeCells count="1">
    <mergeCell ref="K2:AC2"/>
  </mergeCells>
  <phoneticPr fontId="0" type="noConversion"/>
  <printOptions gridLines="1" gridLinesSet="0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Line="0" autoPict="0" macro="[0]!put_data1">
                <anchor moveWithCells="1" sizeWithCells="1">
                  <from>
                    <xdr:col>1</xdr:col>
                    <xdr:colOff>7620</xdr:colOff>
                    <xdr:row>7</xdr:row>
                    <xdr:rowOff>7620</xdr:rowOff>
                  </from>
                  <to>
                    <xdr:col>2</xdr:col>
                    <xdr:colOff>449580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Line="0" autoPict="0" macro="[0]!put_data2">
                <anchor moveWithCells="1" sizeWithCells="1">
                  <from>
                    <xdr:col>0</xdr:col>
                    <xdr:colOff>350520</xdr:colOff>
                    <xdr:row>20</xdr:row>
                    <xdr:rowOff>0</xdr:rowOff>
                  </from>
                  <to>
                    <xdr:col>2</xdr:col>
                    <xdr:colOff>472440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PutVal2</vt:lpstr>
      <vt:lpstr>PutVal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Tam</dc:creator>
  <cp:lastModifiedBy>Lenovo</cp:lastModifiedBy>
  <dcterms:created xsi:type="dcterms:W3CDTF">1996-07-18T20:35:19Z</dcterms:created>
  <dcterms:modified xsi:type="dcterms:W3CDTF">2019-09-24T10:38:36Z</dcterms:modified>
</cp:coreProperties>
</file>